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orda\Claude\Projects\246\proforma\"/>
    </mc:Choice>
  </mc:AlternateContent>
  <xr:revisionPtr revIDLastSave="0" documentId="8_{E8421AE2-6C7D-4D40-B92D-F44792EB0B41}" xr6:coauthVersionLast="47" xr6:coauthVersionMax="47" xr10:uidLastSave="{00000000-0000-0000-0000-000000000000}"/>
  <bookViews>
    <workbookView xWindow="-110" yWindow="-110" windowWidth="25820" windowHeight="13900" xr2:uid="{00000000-000D-0000-FFFF-FFFF00000000}"/>
  </bookViews>
  <sheets>
    <sheet name="Master" sheetId="1" r:id="rId1"/>
    <sheet name="Rev &amp; Unit-by-Unit" sheetId="2" r:id="rId2"/>
    <sheet name="Finance" sheetId="3" r:id="rId3"/>
    <sheet name="Gantt" sheetId="4" r:id="rId4"/>
    <sheet name="Hard Costs" sheetId="5" r:id="rId5"/>
    <sheet name="Soft Costs" sheetId="6" r:id="rId6"/>
  </sheets>
  <definedNames>
    <definedName name="_xlnm.Print_Area" localSheetId="2">Finance!$A$1:$AY$113</definedName>
    <definedName name="_xlnm.Print_Area" localSheetId="3">Gantt!$A$1:$BG$97</definedName>
    <definedName name="_xlnm.Print_Area" localSheetId="4">'Hard Costs'!$A$1:$J$132</definedName>
    <definedName name="_xlnm.Print_Area" localSheetId="0">Master!$A$1:$E$69</definedName>
    <definedName name="_xlnm.Print_Area" localSheetId="1">'Rev &amp; Unit-by-Unit'!$A$1:$P$84</definedName>
    <definedName name="_xlnm.Print_Area" localSheetId="5">'Soft Costs'!$A$1:$J$68</definedName>
  </definedNames>
  <calcPr calcId="181029"/>
</workbook>
</file>

<file path=xl/calcChain.xml><?xml version="1.0" encoding="utf-8"?>
<calcChain xmlns="http://schemas.openxmlformats.org/spreadsheetml/2006/main">
  <c r="G58" i="6" l="1"/>
  <c r="G57" i="6"/>
  <c r="G55" i="6"/>
  <c r="G45" i="6"/>
  <c r="G42" i="6"/>
  <c r="G41" i="6"/>
  <c r="G40" i="6"/>
  <c r="C39" i="6"/>
  <c r="G39" i="6" s="1"/>
  <c r="G35" i="6"/>
  <c r="G34" i="6"/>
  <c r="G33" i="6"/>
  <c r="G31" i="6"/>
  <c r="G30" i="6"/>
  <c r="G29" i="6"/>
  <c r="C23" i="6"/>
  <c r="G23" i="6" s="1"/>
  <c r="C20" i="6"/>
  <c r="G20" i="6" s="1"/>
  <c r="C13" i="6"/>
  <c r="C9" i="6"/>
  <c r="G110" i="5"/>
  <c r="G109" i="5"/>
  <c r="G106" i="5"/>
  <c r="C105" i="5"/>
  <c r="G105" i="5" s="1"/>
  <c r="G104" i="5"/>
  <c r="C103" i="5"/>
  <c r="G103" i="5" s="1"/>
  <c r="G102" i="5"/>
  <c r="C92" i="5"/>
  <c r="G92" i="5" s="1"/>
  <c r="C88" i="5"/>
  <c r="G88" i="5" s="1"/>
  <c r="G87" i="5"/>
  <c r="C81" i="5"/>
  <c r="G78" i="5"/>
  <c r="G77" i="5"/>
  <c r="G76" i="5"/>
  <c r="G75" i="5"/>
  <c r="C74" i="5"/>
  <c r="G74" i="5" s="1"/>
  <c r="C73" i="5"/>
  <c r="G73" i="5" s="1"/>
  <c r="G70" i="5"/>
  <c r="C68" i="5"/>
  <c r="G68" i="5" s="1"/>
  <c r="G67" i="5"/>
  <c r="C66" i="5"/>
  <c r="G66" i="5" s="1"/>
  <c r="G65" i="5"/>
  <c r="G64" i="5"/>
  <c r="G63" i="5"/>
  <c r="C62" i="5"/>
  <c r="G62" i="5" s="1"/>
  <c r="C54" i="5"/>
  <c r="B15" i="1" s="1"/>
  <c r="C47" i="5"/>
  <c r="C46" i="5"/>
  <c r="C51" i="5" s="1"/>
  <c r="C41" i="5"/>
  <c r="C50" i="5" s="1"/>
  <c r="B14" i="1" s="1"/>
  <c r="C39" i="5"/>
  <c r="C48" i="5" s="1"/>
  <c r="C49" i="5" s="1"/>
  <c r="B13" i="1" s="1"/>
  <c r="G34" i="5"/>
  <c r="C101" i="5" s="1"/>
  <c r="G101" i="5" s="1"/>
  <c r="F34" i="5"/>
  <c r="C95" i="5" s="1"/>
  <c r="G95" i="5" s="1"/>
  <c r="E34" i="5"/>
  <c r="C93" i="5" s="1"/>
  <c r="G93" i="5" s="1"/>
  <c r="D34" i="5"/>
  <c r="C34" i="5"/>
  <c r="C12" i="5"/>
  <c r="C10" i="5"/>
  <c r="C6" i="5"/>
  <c r="C90" i="4"/>
  <c r="G90" i="4" s="1"/>
  <c r="C88" i="4"/>
  <c r="C86" i="4"/>
  <c r="B69" i="4"/>
  <c r="BG26" i="4"/>
  <c r="BF26" i="4"/>
  <c r="BE26" i="4"/>
  <c r="BD26" i="4"/>
  <c r="BC26" i="4"/>
  <c r="BB26" i="4"/>
  <c r="BA26" i="4"/>
  <c r="AZ26" i="4"/>
  <c r="AY26" i="4"/>
  <c r="AX26" i="4"/>
  <c r="AW26" i="4"/>
  <c r="AV26" i="4"/>
  <c r="AU26" i="4"/>
  <c r="AT26" i="4"/>
  <c r="AS26" i="4"/>
  <c r="AR26" i="4"/>
  <c r="AQ26" i="4"/>
  <c r="AP26" i="4"/>
  <c r="AO26" i="4"/>
  <c r="AN26" i="4"/>
  <c r="AM26" i="4"/>
  <c r="AL26" i="4"/>
  <c r="AK26" i="4"/>
  <c r="AJ26" i="4"/>
  <c r="AI26" i="4"/>
  <c r="AH26" i="4"/>
  <c r="AG26" i="4"/>
  <c r="AF26" i="4"/>
  <c r="AE26" i="4"/>
  <c r="AD26" i="4"/>
  <c r="AC26" i="4"/>
  <c r="AB26" i="4"/>
  <c r="AA26" i="4"/>
  <c r="Z26" i="4"/>
  <c r="Y26" i="4"/>
  <c r="X26" i="4"/>
  <c r="W26" i="4"/>
  <c r="V26" i="4"/>
  <c r="U26" i="4"/>
  <c r="T26" i="4"/>
  <c r="S26" i="4"/>
  <c r="R26" i="4"/>
  <c r="Q26" i="4"/>
  <c r="P26" i="4"/>
  <c r="O26" i="4"/>
  <c r="N26" i="4"/>
  <c r="M26" i="4"/>
  <c r="L26" i="4"/>
  <c r="K26" i="4"/>
  <c r="J26" i="4"/>
  <c r="I26" i="4"/>
  <c r="H26" i="4"/>
  <c r="G26" i="4"/>
  <c r="F26" i="4"/>
  <c r="BG25" i="4"/>
  <c r="BF25" i="4"/>
  <c r="BE25" i="4"/>
  <c r="BD25" i="4"/>
  <c r="BC25" i="4"/>
  <c r="BB25" i="4"/>
  <c r="BA25" i="4"/>
  <c r="AZ25" i="4"/>
  <c r="AY25" i="4"/>
  <c r="AX25" i="4"/>
  <c r="AW25" i="4"/>
  <c r="AV25" i="4"/>
  <c r="AU25" i="4"/>
  <c r="AT25" i="4"/>
  <c r="AS25" i="4"/>
  <c r="AR25" i="4"/>
  <c r="AQ25" i="4"/>
  <c r="AP25" i="4"/>
  <c r="AO25" i="4"/>
  <c r="AN25" i="4"/>
  <c r="AM25" i="4"/>
  <c r="AL25" i="4"/>
  <c r="AK25" i="4"/>
  <c r="AJ25" i="4"/>
  <c r="AI25" i="4"/>
  <c r="AH25" i="4"/>
  <c r="AG25" i="4"/>
  <c r="AF25" i="4"/>
  <c r="AE25" i="4"/>
  <c r="AD25" i="4"/>
  <c r="AC25" i="4"/>
  <c r="AB25" i="4"/>
  <c r="AA25" i="4"/>
  <c r="Z25" i="4"/>
  <c r="Y25" i="4"/>
  <c r="X25" i="4"/>
  <c r="W25" i="4"/>
  <c r="V25" i="4"/>
  <c r="U25" i="4"/>
  <c r="T25" i="4"/>
  <c r="S25" i="4"/>
  <c r="R25" i="4"/>
  <c r="Q25" i="4"/>
  <c r="P25" i="4"/>
  <c r="O25" i="4"/>
  <c r="N25" i="4"/>
  <c r="M25" i="4"/>
  <c r="L25" i="4"/>
  <c r="K25" i="4"/>
  <c r="J25" i="4"/>
  <c r="I25" i="4"/>
  <c r="H25" i="4"/>
  <c r="G25" i="4"/>
  <c r="F25" i="4"/>
  <c r="BG24" i="4"/>
  <c r="BF24" i="4"/>
  <c r="BE24" i="4"/>
  <c r="BD24" i="4"/>
  <c r="BC24" i="4"/>
  <c r="BB24" i="4"/>
  <c r="BA24" i="4"/>
  <c r="AZ24" i="4"/>
  <c r="AY24" i="4"/>
  <c r="AX24" i="4"/>
  <c r="AW24" i="4"/>
  <c r="AV24" i="4"/>
  <c r="AU24" i="4"/>
  <c r="AT24" i="4"/>
  <c r="AS24" i="4"/>
  <c r="AR24" i="4"/>
  <c r="AQ24" i="4"/>
  <c r="AP24" i="4"/>
  <c r="AO24" i="4"/>
  <c r="AN24" i="4"/>
  <c r="AM24" i="4"/>
  <c r="AL24" i="4"/>
  <c r="AK24" i="4"/>
  <c r="AJ24" i="4"/>
  <c r="AI24" i="4"/>
  <c r="AH24" i="4"/>
  <c r="AG24" i="4"/>
  <c r="AF24" i="4"/>
  <c r="AE24" i="4"/>
  <c r="AD24" i="4"/>
  <c r="AC24" i="4"/>
  <c r="AB24" i="4"/>
  <c r="AA24" i="4"/>
  <c r="Z24" i="4"/>
  <c r="Y24" i="4"/>
  <c r="X24" i="4"/>
  <c r="W24" i="4"/>
  <c r="V24" i="4"/>
  <c r="U24" i="4"/>
  <c r="T24" i="4"/>
  <c r="S24" i="4"/>
  <c r="R24" i="4"/>
  <c r="Q24" i="4"/>
  <c r="P24" i="4"/>
  <c r="O24" i="4"/>
  <c r="N24" i="4"/>
  <c r="M24" i="4"/>
  <c r="L24" i="4"/>
  <c r="K24" i="4"/>
  <c r="J24" i="4"/>
  <c r="I24" i="4"/>
  <c r="H24" i="4"/>
  <c r="G24" i="4"/>
  <c r="F24" i="4"/>
  <c r="BG23" i="4"/>
  <c r="BF23" i="4"/>
  <c r="BE23" i="4"/>
  <c r="BD23" i="4"/>
  <c r="BC23" i="4"/>
  <c r="BB23" i="4"/>
  <c r="BA23" i="4"/>
  <c r="AZ23" i="4"/>
  <c r="AY23" i="4"/>
  <c r="AX23" i="4"/>
  <c r="AW23" i="4"/>
  <c r="AV23" i="4"/>
  <c r="AU23" i="4"/>
  <c r="AT23" i="4"/>
  <c r="AS23" i="4"/>
  <c r="AR23" i="4"/>
  <c r="AQ23" i="4"/>
  <c r="AP23" i="4"/>
  <c r="AO23" i="4"/>
  <c r="AN23" i="4"/>
  <c r="AM23" i="4"/>
  <c r="AL23" i="4"/>
  <c r="AK23" i="4"/>
  <c r="AJ23" i="4"/>
  <c r="AI23" i="4"/>
  <c r="AH23" i="4"/>
  <c r="AG23" i="4"/>
  <c r="AF23" i="4"/>
  <c r="AE23" i="4"/>
  <c r="AD23" i="4"/>
  <c r="AC23" i="4"/>
  <c r="AB23" i="4"/>
  <c r="AA23" i="4"/>
  <c r="Z23" i="4"/>
  <c r="Y23" i="4"/>
  <c r="X23" i="4"/>
  <c r="W23" i="4"/>
  <c r="V23" i="4"/>
  <c r="U23" i="4"/>
  <c r="T23" i="4"/>
  <c r="S23" i="4"/>
  <c r="R23" i="4"/>
  <c r="Q23" i="4"/>
  <c r="P23" i="4"/>
  <c r="O23" i="4"/>
  <c r="N23" i="4"/>
  <c r="M23" i="4"/>
  <c r="L23" i="4"/>
  <c r="K23" i="4"/>
  <c r="J23" i="4"/>
  <c r="I23" i="4"/>
  <c r="H23" i="4"/>
  <c r="G23" i="4"/>
  <c r="F23" i="4"/>
  <c r="BG22" i="4"/>
  <c r="BF22" i="4"/>
  <c r="BE22" i="4"/>
  <c r="BD22" i="4"/>
  <c r="BC22" i="4"/>
  <c r="BB22" i="4"/>
  <c r="BA22" i="4"/>
  <c r="AZ22" i="4"/>
  <c r="AY22" i="4"/>
  <c r="AX22" i="4"/>
  <c r="AW22" i="4"/>
  <c r="AV22" i="4"/>
  <c r="AU22" i="4"/>
  <c r="AT22" i="4"/>
  <c r="AS22" i="4"/>
  <c r="AR22" i="4"/>
  <c r="AQ22" i="4"/>
  <c r="AP22" i="4"/>
  <c r="AO22" i="4"/>
  <c r="AN22" i="4"/>
  <c r="AM22" i="4"/>
  <c r="AL22" i="4"/>
  <c r="AK22" i="4"/>
  <c r="AJ22" i="4"/>
  <c r="AI22" i="4"/>
  <c r="AH22" i="4"/>
  <c r="AG22" i="4"/>
  <c r="AF22" i="4"/>
  <c r="AE22" i="4"/>
  <c r="AD22" i="4"/>
  <c r="AC22" i="4"/>
  <c r="AB22" i="4"/>
  <c r="AA22" i="4"/>
  <c r="Z22" i="4"/>
  <c r="Y22" i="4"/>
  <c r="X22" i="4"/>
  <c r="W22" i="4"/>
  <c r="V22" i="4"/>
  <c r="U22" i="4"/>
  <c r="T22" i="4"/>
  <c r="S22" i="4"/>
  <c r="R22" i="4"/>
  <c r="Q22" i="4"/>
  <c r="P22" i="4"/>
  <c r="O22" i="4"/>
  <c r="N22" i="4"/>
  <c r="M22" i="4"/>
  <c r="L22" i="4"/>
  <c r="K22" i="4"/>
  <c r="J22" i="4"/>
  <c r="I22" i="4"/>
  <c r="H22" i="4"/>
  <c r="G22" i="4"/>
  <c r="F22" i="4"/>
  <c r="BG21" i="4"/>
  <c r="BF21" i="4"/>
  <c r="BE21" i="4"/>
  <c r="BD21" i="4"/>
  <c r="BC21" i="4"/>
  <c r="BB21" i="4"/>
  <c r="BA21" i="4"/>
  <c r="AZ21" i="4"/>
  <c r="AY21" i="4"/>
  <c r="AX21" i="4"/>
  <c r="AW21" i="4"/>
  <c r="AV21" i="4"/>
  <c r="AU21" i="4"/>
  <c r="AT21" i="4"/>
  <c r="AS21" i="4"/>
  <c r="AR21" i="4"/>
  <c r="AQ21" i="4"/>
  <c r="AP21" i="4"/>
  <c r="AO21" i="4"/>
  <c r="AN21" i="4"/>
  <c r="AM21" i="4"/>
  <c r="AL21" i="4"/>
  <c r="AK21" i="4"/>
  <c r="AJ21" i="4"/>
  <c r="AI21" i="4"/>
  <c r="AH21" i="4"/>
  <c r="AG21" i="4"/>
  <c r="AF21" i="4"/>
  <c r="AE21" i="4"/>
  <c r="AD21" i="4"/>
  <c r="AC21" i="4"/>
  <c r="AB21" i="4"/>
  <c r="AA21" i="4"/>
  <c r="Z21" i="4"/>
  <c r="Y21" i="4"/>
  <c r="X21" i="4"/>
  <c r="W21" i="4"/>
  <c r="V21" i="4"/>
  <c r="U21" i="4"/>
  <c r="T21" i="4"/>
  <c r="S21" i="4"/>
  <c r="R21" i="4"/>
  <c r="Q21" i="4"/>
  <c r="P21" i="4"/>
  <c r="O21" i="4"/>
  <c r="N21" i="4"/>
  <c r="M21" i="4"/>
  <c r="L21" i="4"/>
  <c r="K21" i="4"/>
  <c r="J21" i="4"/>
  <c r="I21" i="4"/>
  <c r="H21" i="4"/>
  <c r="G21" i="4"/>
  <c r="F21" i="4"/>
  <c r="BG20" i="4"/>
  <c r="BF20" i="4"/>
  <c r="BE20" i="4"/>
  <c r="BD20" i="4"/>
  <c r="BC20" i="4"/>
  <c r="BB20" i="4"/>
  <c r="BA20" i="4"/>
  <c r="AZ20" i="4"/>
  <c r="AY20" i="4"/>
  <c r="AX20" i="4"/>
  <c r="AW20" i="4"/>
  <c r="AV20" i="4"/>
  <c r="AU20" i="4"/>
  <c r="AT20" i="4"/>
  <c r="AS20" i="4"/>
  <c r="AR20" i="4"/>
  <c r="AQ20" i="4"/>
  <c r="AP20" i="4"/>
  <c r="AO20" i="4"/>
  <c r="AN20" i="4"/>
  <c r="AM20" i="4"/>
  <c r="AL20" i="4"/>
  <c r="AK20" i="4"/>
  <c r="AJ20" i="4"/>
  <c r="AI20" i="4"/>
  <c r="AH20" i="4"/>
  <c r="AG20" i="4"/>
  <c r="AF20" i="4"/>
  <c r="AE20" i="4"/>
  <c r="AD20" i="4"/>
  <c r="AC20" i="4"/>
  <c r="AB20" i="4"/>
  <c r="AA20" i="4"/>
  <c r="Z20" i="4"/>
  <c r="Y20" i="4"/>
  <c r="X20" i="4"/>
  <c r="W20" i="4"/>
  <c r="V20" i="4"/>
  <c r="U20" i="4"/>
  <c r="T20" i="4"/>
  <c r="S20" i="4"/>
  <c r="R20" i="4"/>
  <c r="Q20" i="4"/>
  <c r="P20" i="4"/>
  <c r="O20" i="4"/>
  <c r="N20" i="4"/>
  <c r="M20" i="4"/>
  <c r="L20" i="4"/>
  <c r="K20" i="4"/>
  <c r="J20" i="4"/>
  <c r="I20" i="4"/>
  <c r="H20" i="4"/>
  <c r="G20" i="4"/>
  <c r="F20" i="4"/>
  <c r="BG19" i="4"/>
  <c r="BF19" i="4"/>
  <c r="BE19" i="4"/>
  <c r="BD19" i="4"/>
  <c r="BC19" i="4"/>
  <c r="BB19" i="4"/>
  <c r="BA19" i="4"/>
  <c r="AZ19" i="4"/>
  <c r="AY19" i="4"/>
  <c r="AX19" i="4"/>
  <c r="AW19" i="4"/>
  <c r="AV19" i="4"/>
  <c r="AU19" i="4"/>
  <c r="AT19" i="4"/>
  <c r="AS19" i="4"/>
  <c r="AR19" i="4"/>
  <c r="AQ19" i="4"/>
  <c r="AP19" i="4"/>
  <c r="AO19" i="4"/>
  <c r="AN19" i="4"/>
  <c r="AM19" i="4"/>
  <c r="AL19" i="4"/>
  <c r="AK19" i="4"/>
  <c r="AJ19" i="4"/>
  <c r="AI19" i="4"/>
  <c r="AH19" i="4"/>
  <c r="AG19" i="4"/>
  <c r="AF19" i="4"/>
  <c r="AE19" i="4"/>
  <c r="AD19" i="4"/>
  <c r="AC19" i="4"/>
  <c r="AB19" i="4"/>
  <c r="AA19" i="4"/>
  <c r="Z19" i="4"/>
  <c r="Y19" i="4"/>
  <c r="X19" i="4"/>
  <c r="W19" i="4"/>
  <c r="V19" i="4"/>
  <c r="U19" i="4"/>
  <c r="T19" i="4"/>
  <c r="S19" i="4"/>
  <c r="R19" i="4"/>
  <c r="Q19" i="4"/>
  <c r="P19" i="4"/>
  <c r="O19" i="4"/>
  <c r="N19" i="4"/>
  <c r="M19" i="4"/>
  <c r="L19" i="4"/>
  <c r="K19" i="4"/>
  <c r="J19" i="4"/>
  <c r="I19" i="4"/>
  <c r="H19" i="4"/>
  <c r="G19" i="4"/>
  <c r="F19" i="4"/>
  <c r="BG18" i="4"/>
  <c r="BF18" i="4"/>
  <c r="BE18" i="4"/>
  <c r="BD18" i="4"/>
  <c r="BC18" i="4"/>
  <c r="BB18" i="4"/>
  <c r="BA18" i="4"/>
  <c r="AZ18" i="4"/>
  <c r="AY18" i="4"/>
  <c r="AX18" i="4"/>
  <c r="AW18" i="4"/>
  <c r="AV18" i="4"/>
  <c r="AU18" i="4"/>
  <c r="AT18" i="4"/>
  <c r="AS18" i="4"/>
  <c r="AR18" i="4"/>
  <c r="AQ18" i="4"/>
  <c r="AP18" i="4"/>
  <c r="AO18" i="4"/>
  <c r="AN18" i="4"/>
  <c r="AM18" i="4"/>
  <c r="AL18" i="4"/>
  <c r="AK18" i="4"/>
  <c r="AJ18" i="4"/>
  <c r="AI18" i="4"/>
  <c r="AH18" i="4"/>
  <c r="AG18" i="4"/>
  <c r="AF18" i="4"/>
  <c r="AE18" i="4"/>
  <c r="AD18" i="4"/>
  <c r="AC18" i="4"/>
  <c r="AB18" i="4"/>
  <c r="AA18" i="4"/>
  <c r="Z18" i="4"/>
  <c r="Y18" i="4"/>
  <c r="X18" i="4"/>
  <c r="W18" i="4"/>
  <c r="V18" i="4"/>
  <c r="U18" i="4"/>
  <c r="T18" i="4"/>
  <c r="S18" i="4"/>
  <c r="R18" i="4"/>
  <c r="Q18" i="4"/>
  <c r="P18" i="4"/>
  <c r="O18" i="4"/>
  <c r="N18" i="4"/>
  <c r="M18" i="4"/>
  <c r="L18" i="4"/>
  <c r="K18" i="4"/>
  <c r="J18" i="4"/>
  <c r="I18" i="4"/>
  <c r="H18" i="4"/>
  <c r="G18" i="4"/>
  <c r="F18" i="4"/>
  <c r="BG17" i="4"/>
  <c r="BF17" i="4"/>
  <c r="BE17" i="4"/>
  <c r="BD17" i="4"/>
  <c r="BC17" i="4"/>
  <c r="BB17" i="4"/>
  <c r="BA17" i="4"/>
  <c r="AZ17" i="4"/>
  <c r="AY17" i="4"/>
  <c r="AX17" i="4"/>
  <c r="AW17" i="4"/>
  <c r="AV17" i="4"/>
  <c r="AU17" i="4"/>
  <c r="AT17" i="4"/>
  <c r="AS17" i="4"/>
  <c r="AR17" i="4"/>
  <c r="AQ17" i="4"/>
  <c r="AP17" i="4"/>
  <c r="AO17" i="4"/>
  <c r="AN17" i="4"/>
  <c r="AM17" i="4"/>
  <c r="AL17" i="4"/>
  <c r="AK17" i="4"/>
  <c r="AJ17" i="4"/>
  <c r="AI17" i="4"/>
  <c r="AH17" i="4"/>
  <c r="AG17" i="4"/>
  <c r="AF17" i="4"/>
  <c r="AE17" i="4"/>
  <c r="AD17" i="4"/>
  <c r="AC17" i="4"/>
  <c r="AB17" i="4"/>
  <c r="AA17" i="4"/>
  <c r="Z17" i="4"/>
  <c r="Y17" i="4"/>
  <c r="X17" i="4"/>
  <c r="W17" i="4"/>
  <c r="V17" i="4"/>
  <c r="U17" i="4"/>
  <c r="T17" i="4"/>
  <c r="S17" i="4"/>
  <c r="R17" i="4"/>
  <c r="Q17" i="4"/>
  <c r="P17" i="4"/>
  <c r="O17" i="4"/>
  <c r="N17" i="4"/>
  <c r="M17" i="4"/>
  <c r="L17" i="4"/>
  <c r="K17" i="4"/>
  <c r="J17" i="4"/>
  <c r="I17" i="4"/>
  <c r="H17" i="4"/>
  <c r="G17" i="4"/>
  <c r="F17" i="4"/>
  <c r="L14" i="4"/>
  <c r="K14" i="4"/>
  <c r="J14" i="4"/>
  <c r="I14" i="4"/>
  <c r="H14" i="4"/>
  <c r="G14" i="4"/>
  <c r="F14" i="4"/>
  <c r="BG13" i="4"/>
  <c r="BF13" i="4"/>
  <c r="BE13" i="4"/>
  <c r="BD13" i="4"/>
  <c r="BC13" i="4"/>
  <c r="BB13" i="4"/>
  <c r="BA13" i="4"/>
  <c r="AZ13" i="4"/>
  <c r="AY13" i="4"/>
  <c r="AX13" i="4"/>
  <c r="AW13" i="4"/>
  <c r="AV13" i="4"/>
  <c r="AU13" i="4"/>
  <c r="AT13" i="4"/>
  <c r="AS13" i="4"/>
  <c r="AR13" i="4"/>
  <c r="AQ13" i="4"/>
  <c r="AP13" i="4"/>
  <c r="AO13" i="4"/>
  <c r="AN13" i="4"/>
  <c r="AM13" i="4"/>
  <c r="AL13" i="4"/>
  <c r="AK13" i="4"/>
  <c r="AJ13" i="4"/>
  <c r="AI13" i="4"/>
  <c r="AH13" i="4"/>
  <c r="AG13" i="4"/>
  <c r="AF13" i="4"/>
  <c r="AE13" i="4"/>
  <c r="AD13" i="4"/>
  <c r="AC13" i="4"/>
  <c r="AB13" i="4"/>
  <c r="AA13" i="4"/>
  <c r="Z13" i="4"/>
  <c r="Y13" i="4"/>
  <c r="X13" i="4"/>
  <c r="W13" i="4"/>
  <c r="V13" i="4"/>
  <c r="U13" i="4"/>
  <c r="T13" i="4"/>
  <c r="S13" i="4"/>
  <c r="R13" i="4"/>
  <c r="Q13" i="4"/>
  <c r="P13" i="4"/>
  <c r="O13" i="4"/>
  <c r="N13" i="4"/>
  <c r="M13" i="4"/>
  <c r="L13" i="4"/>
  <c r="K13" i="4"/>
  <c r="J13" i="4"/>
  <c r="I13" i="4"/>
  <c r="H13" i="4"/>
  <c r="G13" i="4"/>
  <c r="F13" i="4"/>
  <c r="B9" i="4"/>
  <c r="B8" i="4"/>
  <c r="D76" i="4" s="1"/>
  <c r="B7" i="4"/>
  <c r="AY88" i="3"/>
  <c r="AX88" i="3"/>
  <c r="AW88" i="3"/>
  <c r="AV88" i="3"/>
  <c r="AU88" i="3"/>
  <c r="AT88" i="3"/>
  <c r="AS88" i="3"/>
  <c r="AR88" i="3"/>
  <c r="AQ88" i="3"/>
  <c r="AP88" i="3"/>
  <c r="AO88" i="3"/>
  <c r="AN88" i="3"/>
  <c r="AM88" i="3"/>
  <c r="AL88" i="3"/>
  <c r="AK88" i="3"/>
  <c r="AJ88" i="3"/>
  <c r="AI88" i="3"/>
  <c r="AH88" i="3"/>
  <c r="AG88" i="3"/>
  <c r="AF88" i="3"/>
  <c r="AD88" i="3"/>
  <c r="AC88" i="3"/>
  <c r="AB88" i="3"/>
  <c r="AA88" i="3"/>
  <c r="Z88" i="3"/>
  <c r="Y88" i="3"/>
  <c r="X88" i="3"/>
  <c r="W88" i="3"/>
  <c r="V88" i="3"/>
  <c r="U88" i="3"/>
  <c r="T88" i="3"/>
  <c r="S88" i="3"/>
  <c r="R88" i="3"/>
  <c r="Q88" i="3"/>
  <c r="P88" i="3"/>
  <c r="O88" i="3"/>
  <c r="N88" i="3"/>
  <c r="M88" i="3"/>
  <c r="L88" i="3"/>
  <c r="K88" i="3"/>
  <c r="J88" i="3"/>
  <c r="I88" i="3"/>
  <c r="H88" i="3"/>
  <c r="G88" i="3"/>
  <c r="F88" i="3"/>
  <c r="E88" i="3"/>
  <c r="D88" i="3"/>
  <c r="D82" i="3"/>
  <c r="AY77" i="3"/>
  <c r="AX77" i="3"/>
  <c r="AW77" i="3"/>
  <c r="AV77" i="3"/>
  <c r="AU77" i="3"/>
  <c r="AT77" i="3"/>
  <c r="AS77" i="3"/>
  <c r="AR77" i="3"/>
  <c r="AQ77" i="3"/>
  <c r="AP77" i="3"/>
  <c r="AO77" i="3"/>
  <c r="AN77" i="3"/>
  <c r="AM77" i="3"/>
  <c r="AL77" i="3"/>
  <c r="AK77" i="3"/>
  <c r="AJ77" i="3"/>
  <c r="AI77" i="3"/>
  <c r="AH77" i="3"/>
  <c r="AG77" i="3"/>
  <c r="AF77" i="3"/>
  <c r="AE77" i="3"/>
  <c r="AD77" i="3"/>
  <c r="AC77" i="3"/>
  <c r="AB77" i="3"/>
  <c r="AA77" i="3"/>
  <c r="Z77" i="3"/>
  <c r="Y77" i="3"/>
  <c r="X77" i="3"/>
  <c r="W77" i="3"/>
  <c r="V77" i="3"/>
  <c r="U77" i="3"/>
  <c r="T77" i="3"/>
  <c r="S77" i="3"/>
  <c r="R77" i="3"/>
  <c r="Q77" i="3"/>
  <c r="P77" i="3"/>
  <c r="O77" i="3"/>
  <c r="N77" i="3"/>
  <c r="M77" i="3"/>
  <c r="L77" i="3"/>
  <c r="K77" i="3"/>
  <c r="J77" i="3"/>
  <c r="I77" i="3"/>
  <c r="H77" i="3"/>
  <c r="G77" i="3"/>
  <c r="F77" i="3"/>
  <c r="E77" i="3"/>
  <c r="AY76" i="3"/>
  <c r="AX76" i="3"/>
  <c r="AW76" i="3"/>
  <c r="AV76" i="3"/>
  <c r="AU76" i="3"/>
  <c r="AT76" i="3"/>
  <c r="AS76" i="3"/>
  <c r="AR76" i="3"/>
  <c r="AQ76" i="3"/>
  <c r="AP76" i="3"/>
  <c r="AO76" i="3"/>
  <c r="AN76" i="3"/>
  <c r="AM76" i="3"/>
  <c r="AL76" i="3"/>
  <c r="AK76" i="3"/>
  <c r="AJ76" i="3"/>
  <c r="AI76" i="3"/>
  <c r="AH76" i="3"/>
  <c r="AG76" i="3"/>
  <c r="AF76" i="3"/>
  <c r="AE76" i="3"/>
  <c r="AD76" i="3"/>
  <c r="AC76" i="3"/>
  <c r="AB76" i="3"/>
  <c r="AA76" i="3"/>
  <c r="Z76" i="3"/>
  <c r="Y76" i="3"/>
  <c r="X76" i="3"/>
  <c r="W76" i="3"/>
  <c r="V76" i="3"/>
  <c r="U76" i="3"/>
  <c r="T76" i="3"/>
  <c r="S76" i="3"/>
  <c r="R76" i="3"/>
  <c r="Q76" i="3"/>
  <c r="P76" i="3"/>
  <c r="O76" i="3"/>
  <c r="N76" i="3"/>
  <c r="M76" i="3"/>
  <c r="L76" i="3"/>
  <c r="J76" i="3"/>
  <c r="I76" i="3"/>
  <c r="H76" i="3"/>
  <c r="G76" i="3"/>
  <c r="F76" i="3"/>
  <c r="E76" i="3"/>
  <c r="D76" i="3"/>
  <c r="AY75" i="3"/>
  <c r="AX75" i="3"/>
  <c r="AW75" i="3"/>
  <c r="AV75" i="3"/>
  <c r="AU75" i="3"/>
  <c r="AT75" i="3"/>
  <c r="AS75" i="3"/>
  <c r="AR75" i="3"/>
  <c r="AQ75" i="3"/>
  <c r="AP75" i="3"/>
  <c r="AO75" i="3"/>
  <c r="AN75" i="3"/>
  <c r="AM75" i="3"/>
  <c r="AL75" i="3"/>
  <c r="AK75" i="3"/>
  <c r="AJ75" i="3"/>
  <c r="AI75" i="3"/>
  <c r="AH75" i="3"/>
  <c r="AG75" i="3"/>
  <c r="AF75" i="3"/>
  <c r="AE75" i="3"/>
  <c r="AD75" i="3"/>
  <c r="AC75" i="3"/>
  <c r="AB75" i="3"/>
  <c r="AA75" i="3"/>
  <c r="Z75" i="3"/>
  <c r="Y75" i="3"/>
  <c r="X75" i="3"/>
  <c r="W75" i="3"/>
  <c r="V75" i="3"/>
  <c r="U75" i="3"/>
  <c r="T75" i="3"/>
  <c r="S75" i="3"/>
  <c r="R75" i="3"/>
  <c r="Q75" i="3"/>
  <c r="P75" i="3"/>
  <c r="O75" i="3"/>
  <c r="N75" i="3"/>
  <c r="M75" i="3"/>
  <c r="L75" i="3"/>
  <c r="J75" i="3"/>
  <c r="I75" i="3"/>
  <c r="H75" i="3"/>
  <c r="G75" i="3"/>
  <c r="F75" i="3"/>
  <c r="E75" i="3"/>
  <c r="D75" i="3"/>
  <c r="AY74" i="3"/>
  <c r="AX74" i="3"/>
  <c r="AW74" i="3"/>
  <c r="AV74" i="3"/>
  <c r="AU74" i="3"/>
  <c r="AT74" i="3"/>
  <c r="AS74" i="3"/>
  <c r="AR74" i="3"/>
  <c r="AQ74" i="3"/>
  <c r="AP74" i="3"/>
  <c r="AO74" i="3"/>
  <c r="AN74" i="3"/>
  <c r="AM74" i="3"/>
  <c r="AL74" i="3"/>
  <c r="AK74" i="3"/>
  <c r="AJ74" i="3"/>
  <c r="AI74" i="3"/>
  <c r="AH74" i="3"/>
  <c r="AG74" i="3"/>
  <c r="AF74" i="3"/>
  <c r="AE74" i="3"/>
  <c r="AY72" i="3"/>
  <c r="AX72" i="3"/>
  <c r="AW72" i="3"/>
  <c r="AV72" i="3"/>
  <c r="AU72" i="3"/>
  <c r="AT72" i="3"/>
  <c r="AS72" i="3"/>
  <c r="AR72" i="3"/>
  <c r="AQ72" i="3"/>
  <c r="AP72" i="3"/>
  <c r="AO72" i="3"/>
  <c r="AN72" i="3"/>
  <c r="AM72" i="3"/>
  <c r="AL72" i="3"/>
  <c r="AK72" i="3"/>
  <c r="AJ72" i="3"/>
  <c r="AI72" i="3"/>
  <c r="AH72" i="3"/>
  <c r="AG72" i="3"/>
  <c r="AF72" i="3"/>
  <c r="AE72" i="3"/>
  <c r="AD72" i="3"/>
  <c r="AC72" i="3"/>
  <c r="AB72" i="3"/>
  <c r="AA72" i="3"/>
  <c r="Z72" i="3"/>
  <c r="Y72" i="3"/>
  <c r="X72" i="3"/>
  <c r="W72" i="3"/>
  <c r="V72" i="3"/>
  <c r="U72" i="3"/>
  <c r="T72" i="3"/>
  <c r="S72" i="3"/>
  <c r="R72" i="3"/>
  <c r="Q72" i="3"/>
  <c r="P72" i="3"/>
  <c r="O72" i="3"/>
  <c r="N72" i="3"/>
  <c r="M72" i="3"/>
  <c r="L72" i="3"/>
  <c r="K72" i="3"/>
  <c r="I72" i="3"/>
  <c r="H72" i="3"/>
  <c r="G72" i="3"/>
  <c r="F72" i="3"/>
  <c r="E72" i="3"/>
  <c r="D72" i="3"/>
  <c r="AY71" i="3"/>
  <c r="AX71" i="3"/>
  <c r="AW71" i="3"/>
  <c r="AV71" i="3"/>
  <c r="AU71" i="3"/>
  <c r="AT71" i="3"/>
  <c r="AS71" i="3"/>
  <c r="AR71" i="3"/>
  <c r="AQ71" i="3"/>
  <c r="AP71" i="3"/>
  <c r="AO71" i="3"/>
  <c r="AN71" i="3"/>
  <c r="AM71" i="3"/>
  <c r="AL71" i="3"/>
  <c r="AK71" i="3"/>
  <c r="AJ71" i="3"/>
  <c r="AI71" i="3"/>
  <c r="AH71" i="3"/>
  <c r="AG71" i="3"/>
  <c r="AF71" i="3"/>
  <c r="AE71" i="3"/>
  <c r="AD71" i="3"/>
  <c r="AC71" i="3"/>
  <c r="AB71" i="3"/>
  <c r="AA71" i="3"/>
  <c r="Z71" i="3"/>
  <c r="Y71" i="3"/>
  <c r="X71" i="3"/>
  <c r="W71" i="3"/>
  <c r="V71" i="3"/>
  <c r="U71" i="3"/>
  <c r="T71" i="3"/>
  <c r="S71" i="3"/>
  <c r="R71" i="3"/>
  <c r="Q71" i="3"/>
  <c r="P71" i="3"/>
  <c r="O71" i="3"/>
  <c r="N71" i="3"/>
  <c r="M71" i="3"/>
  <c r="L71" i="3"/>
  <c r="K71" i="3"/>
  <c r="J71" i="3"/>
  <c r="I71" i="3"/>
  <c r="H71" i="3"/>
  <c r="G71" i="3"/>
  <c r="F71" i="3"/>
  <c r="E71" i="3"/>
  <c r="AD68" i="3"/>
  <c r="AC68" i="3"/>
  <c r="AB68" i="3"/>
  <c r="AA68" i="3"/>
  <c r="Z68" i="3"/>
  <c r="Y68" i="3"/>
  <c r="X68" i="3"/>
  <c r="W68" i="3"/>
  <c r="V68" i="3"/>
  <c r="U68" i="3"/>
  <c r="T68" i="3"/>
  <c r="S68" i="3"/>
  <c r="R68" i="3"/>
  <c r="Q68" i="3"/>
  <c r="P68" i="3"/>
  <c r="O68" i="3"/>
  <c r="N68" i="3"/>
  <c r="M68" i="3"/>
  <c r="L68" i="3"/>
  <c r="K68" i="3"/>
  <c r="J68" i="3"/>
  <c r="I68" i="3"/>
  <c r="H68" i="3"/>
  <c r="G68" i="3"/>
  <c r="F68" i="3"/>
  <c r="E68" i="3"/>
  <c r="D68" i="3"/>
  <c r="B25" i="3"/>
  <c r="B10" i="3"/>
  <c r="M73" i="2"/>
  <c r="M71" i="2"/>
  <c r="G59" i="2"/>
  <c r="M59" i="2" s="1"/>
  <c r="M58" i="2"/>
  <c r="M57" i="2"/>
  <c r="G38" i="2"/>
  <c r="G34" i="2"/>
  <c r="G32" i="2"/>
  <c r="O27" i="2"/>
  <c r="B96" i="4" s="1"/>
  <c r="G27" i="2"/>
  <c r="D27" i="2"/>
  <c r="J26" i="2"/>
  <c r="F26" i="2"/>
  <c r="E26" i="2"/>
  <c r="C26" i="2"/>
  <c r="J25" i="2"/>
  <c r="F25" i="2"/>
  <c r="E25" i="2"/>
  <c r="C25" i="2"/>
  <c r="J24" i="2"/>
  <c r="F24" i="2"/>
  <c r="E24" i="2"/>
  <c r="C24" i="2"/>
  <c r="J23" i="2"/>
  <c r="F23" i="2"/>
  <c r="E23" i="2"/>
  <c r="C23" i="2"/>
  <c r="J22" i="2"/>
  <c r="F22" i="2"/>
  <c r="E22" i="2"/>
  <c r="C22" i="2"/>
  <c r="J21" i="2"/>
  <c r="F21" i="2"/>
  <c r="E21" i="2"/>
  <c r="C21" i="2"/>
  <c r="J20" i="2"/>
  <c r="F20" i="2"/>
  <c r="E20" i="2"/>
  <c r="C20" i="2"/>
  <c r="J19" i="2"/>
  <c r="F19" i="2"/>
  <c r="E19" i="2"/>
  <c r="C19" i="2"/>
  <c r="M18" i="2"/>
  <c r="J18" i="2"/>
  <c r="F18" i="2"/>
  <c r="E18" i="2"/>
  <c r="E27" i="2" s="1"/>
  <c r="C18" i="2"/>
  <c r="G13" i="2"/>
  <c r="G8" i="2"/>
  <c r="B31" i="1"/>
  <c r="B21" i="1"/>
  <c r="B11" i="1"/>
  <c r="B10" i="1"/>
  <c r="B9" i="1"/>
  <c r="BF60" i="4" l="1"/>
  <c r="G30" i="4"/>
  <c r="BG94" i="4"/>
  <c r="BF94" i="4"/>
  <c r="BE94" i="4"/>
  <c r="BD94" i="4"/>
  <c r="BC94" i="4"/>
  <c r="BB94" i="4"/>
  <c r="BA94" i="4"/>
  <c r="AZ94" i="4"/>
  <c r="AY94" i="4"/>
  <c r="AX94" i="4"/>
  <c r="AW94" i="4"/>
  <c r="AV94" i="4"/>
  <c r="AU94" i="4"/>
  <c r="AT94" i="4"/>
  <c r="AS94" i="4"/>
  <c r="AR94" i="4"/>
  <c r="AQ94" i="4"/>
  <c r="AP94" i="4"/>
  <c r="AO94" i="4"/>
  <c r="AN94" i="4"/>
  <c r="AM94" i="4"/>
  <c r="AL94" i="4"/>
  <c r="AK94" i="4"/>
  <c r="AJ94" i="4"/>
  <c r="AI94" i="4"/>
  <c r="AH94" i="4"/>
  <c r="AG94" i="4"/>
  <c r="AF94" i="4"/>
  <c r="AE94" i="4"/>
  <c r="AD94" i="4"/>
  <c r="AC94" i="4"/>
  <c r="AB94" i="4"/>
  <c r="AA94" i="4"/>
  <c r="Z94" i="4"/>
  <c r="Y94" i="4"/>
  <c r="X94" i="4"/>
  <c r="W94" i="4"/>
  <c r="V94" i="4"/>
  <c r="U94" i="4"/>
  <c r="T94" i="4"/>
  <c r="S94" i="4"/>
  <c r="R94" i="4"/>
  <c r="Q94" i="4"/>
  <c r="P94" i="4"/>
  <c r="O94" i="4"/>
  <c r="N94" i="4"/>
  <c r="M94" i="4"/>
  <c r="L94" i="4"/>
  <c r="K94" i="4"/>
  <c r="J94" i="4"/>
  <c r="I94" i="4"/>
  <c r="H94" i="4"/>
  <c r="G94" i="4"/>
  <c r="F94" i="4"/>
  <c r="C93" i="4"/>
  <c r="C92" i="4"/>
  <c r="C91" i="4"/>
  <c r="C89" i="4"/>
  <c r="AR69" i="4"/>
  <c r="AQ69" i="4"/>
  <c r="AP69" i="4"/>
  <c r="AO69" i="4"/>
  <c r="AN69" i="4"/>
  <c r="AM69" i="4"/>
  <c r="AH69" i="4"/>
  <c r="AG69" i="4"/>
  <c r="AF69" i="4"/>
  <c r="AE69" i="4"/>
  <c r="AD69" i="4"/>
  <c r="AC69" i="4"/>
  <c r="AB69" i="4"/>
  <c r="AA69" i="4"/>
  <c r="Z69" i="4"/>
  <c r="Y69" i="4"/>
  <c r="X69" i="4"/>
  <c r="W69" i="4"/>
  <c r="V69" i="4"/>
  <c r="U69" i="4"/>
  <c r="T69" i="4"/>
  <c r="S69" i="4"/>
  <c r="R69" i="4"/>
  <c r="Q69" i="4"/>
  <c r="P69" i="4"/>
  <c r="O69" i="4"/>
  <c r="N69" i="4"/>
  <c r="M69" i="4"/>
  <c r="L69" i="4"/>
  <c r="K69" i="4"/>
  <c r="J69" i="4"/>
  <c r="I69" i="4"/>
  <c r="H69" i="4"/>
  <c r="G69" i="4"/>
  <c r="F69" i="4"/>
  <c r="BG68" i="4"/>
  <c r="BF68" i="4"/>
  <c r="BE68" i="4"/>
  <c r="BD68" i="4"/>
  <c r="BC68" i="4"/>
  <c r="BB68" i="4"/>
  <c r="BA68" i="4"/>
  <c r="AZ68" i="4"/>
  <c r="AY68" i="4"/>
  <c r="AX68" i="4"/>
  <c r="AH61" i="4"/>
  <c r="AG61" i="4"/>
  <c r="AF61" i="4"/>
  <c r="AE61" i="4"/>
  <c r="AD61" i="4"/>
  <c r="AC61" i="4"/>
  <c r="AB61" i="4"/>
  <c r="AA61" i="4"/>
  <c r="Z61" i="4"/>
  <c r="Y61" i="4"/>
  <c r="X61" i="4"/>
  <c r="W61" i="4"/>
  <c r="V61" i="4"/>
  <c r="U61" i="4"/>
  <c r="T61" i="4"/>
  <c r="S61" i="4"/>
  <c r="R61" i="4"/>
  <c r="Q61" i="4"/>
  <c r="P61" i="4"/>
  <c r="O61" i="4"/>
  <c r="N61" i="4"/>
  <c r="M61" i="4"/>
  <c r="L61" i="4"/>
  <c r="K61" i="4"/>
  <c r="J61" i="4"/>
  <c r="I61" i="4"/>
  <c r="H61" i="4"/>
  <c r="G61" i="4"/>
  <c r="F61" i="4"/>
  <c r="BG60" i="4"/>
  <c r="U58" i="4"/>
  <c r="BE60" i="4"/>
  <c r="BD60" i="4"/>
  <c r="BC60" i="4"/>
  <c r="BB60" i="4"/>
  <c r="BA60" i="4"/>
  <c r="AZ60" i="4"/>
  <c r="AY60" i="4"/>
  <c r="AX60" i="4"/>
  <c r="AW60" i="4"/>
  <c r="AV60" i="4"/>
  <c r="AU60" i="4"/>
  <c r="AT60" i="4"/>
  <c r="AS60" i="4"/>
  <c r="AR60" i="4"/>
  <c r="AQ60" i="4"/>
  <c r="AP60" i="4"/>
  <c r="AO60" i="4"/>
  <c r="AN60" i="4"/>
  <c r="AM60" i="4"/>
  <c r="AL60" i="4"/>
  <c r="AK60" i="4"/>
  <c r="AG60" i="4"/>
  <c r="AF60" i="4"/>
  <c r="AE60" i="4"/>
  <c r="AD60" i="4"/>
  <c r="AC60" i="4"/>
  <c r="AB60" i="4"/>
  <c r="AA60" i="4"/>
  <c r="Z60" i="4"/>
  <c r="Y60" i="4"/>
  <c r="X60" i="4"/>
  <c r="W60" i="4"/>
  <c r="V60" i="4"/>
  <c r="U60" i="4"/>
  <c r="T60" i="4"/>
  <c r="S60" i="4"/>
  <c r="R60" i="4"/>
  <c r="Q60" i="4"/>
  <c r="P60" i="4"/>
  <c r="O60" i="4"/>
  <c r="N60" i="4"/>
  <c r="M60" i="4"/>
  <c r="L60" i="4"/>
  <c r="K60" i="4"/>
  <c r="J60" i="4"/>
  <c r="I60" i="4"/>
  <c r="H60" i="4"/>
  <c r="G60" i="4"/>
  <c r="F60" i="4"/>
  <c r="BG59" i="4"/>
  <c r="BF59" i="4"/>
  <c r="BE59" i="4"/>
  <c r="BD59" i="4"/>
  <c r="BC59" i="4"/>
  <c r="BB59" i="4"/>
  <c r="BA59" i="4"/>
  <c r="AZ59" i="4"/>
  <c r="AY59" i="4"/>
  <c r="AX59" i="4"/>
  <c r="AW59" i="4"/>
  <c r="AV59" i="4"/>
  <c r="AU59" i="4"/>
  <c r="AT59" i="4"/>
  <c r="AS59" i="4"/>
  <c r="AR59" i="4"/>
  <c r="AQ59" i="4"/>
  <c r="AP59" i="4"/>
  <c r="AO59" i="4"/>
  <c r="AN59" i="4"/>
  <c r="AM59" i="4"/>
  <c r="AL59" i="4"/>
  <c r="AK59" i="4"/>
  <c r="AJ59" i="4"/>
  <c r="AG59" i="4"/>
  <c r="AF59" i="4"/>
  <c r="AE59" i="4"/>
  <c r="AD59" i="4"/>
  <c r="AC59" i="4"/>
  <c r="AB59" i="4"/>
  <c r="AA59" i="4"/>
  <c r="Z59" i="4"/>
  <c r="Y59" i="4"/>
  <c r="X59" i="4"/>
  <c r="W59" i="4"/>
  <c r="V59" i="4"/>
  <c r="U59" i="4"/>
  <c r="T59" i="4"/>
  <c r="S59" i="4"/>
  <c r="R59" i="4"/>
  <c r="Q59" i="4"/>
  <c r="P59" i="4"/>
  <c r="O59" i="4"/>
  <c r="N59" i="4"/>
  <c r="M59" i="4"/>
  <c r="L59" i="4"/>
  <c r="K59" i="4"/>
  <c r="J59" i="4"/>
  <c r="I59" i="4"/>
  <c r="H59" i="4"/>
  <c r="G59" i="4"/>
  <c r="F59" i="4"/>
  <c r="BG58" i="4"/>
  <c r="BF58" i="4"/>
  <c r="BE58" i="4"/>
  <c r="BD58" i="4"/>
  <c r="BC58" i="4"/>
  <c r="BB58" i="4"/>
  <c r="BA58" i="4"/>
  <c r="AZ58" i="4"/>
  <c r="AY58" i="4"/>
  <c r="AX58" i="4"/>
  <c r="AW58" i="4"/>
  <c r="AV58" i="4"/>
  <c r="AU58" i="4"/>
  <c r="AT58" i="4"/>
  <c r="AS58" i="4"/>
  <c r="AR58" i="4"/>
  <c r="AQ58" i="4"/>
  <c r="AP58" i="4"/>
  <c r="AO58" i="4"/>
  <c r="AN58" i="4"/>
  <c r="AM58" i="4"/>
  <c r="AL58" i="4"/>
  <c r="AK58" i="4"/>
  <c r="AJ58" i="4"/>
  <c r="AI58" i="4"/>
  <c r="AD58" i="4"/>
  <c r="AC58" i="4"/>
  <c r="AB58" i="4"/>
  <c r="AA58" i="4"/>
  <c r="Z58" i="4"/>
  <c r="Y58" i="4"/>
  <c r="X58" i="4"/>
  <c r="W58" i="4"/>
  <c r="V58" i="4"/>
  <c r="F30" i="4"/>
  <c r="T58" i="4"/>
  <c r="S58" i="4"/>
  <c r="R58" i="4"/>
  <c r="Q58" i="4"/>
  <c r="P58" i="4"/>
  <c r="O58" i="4"/>
  <c r="N58" i="4"/>
  <c r="M58" i="4"/>
  <c r="L58" i="4"/>
  <c r="K58" i="4"/>
  <c r="J58" i="4"/>
  <c r="I58" i="4"/>
  <c r="H58" i="4"/>
  <c r="G58" i="4"/>
  <c r="F58" i="4"/>
  <c r="BG57" i="4"/>
  <c r="BF57" i="4"/>
  <c r="BE57" i="4"/>
  <c r="BD57" i="4"/>
  <c r="BC57" i="4"/>
  <c r="BB57" i="4"/>
  <c r="BA57" i="4"/>
  <c r="AZ57" i="4"/>
  <c r="AY57" i="4"/>
  <c r="AX57" i="4"/>
  <c r="AW57" i="4"/>
  <c r="AV57" i="4"/>
  <c r="AU57" i="4"/>
  <c r="AT57" i="4"/>
  <c r="AS57" i="4"/>
  <c r="AR57" i="4"/>
  <c r="AQ57" i="4"/>
  <c r="AP57" i="4"/>
  <c r="AO57" i="4"/>
  <c r="AN57" i="4"/>
  <c r="AM57" i="4"/>
  <c r="AL57" i="4"/>
  <c r="AK57" i="4"/>
  <c r="AJ57" i="4"/>
  <c r="AI57" i="4"/>
  <c r="AH57" i="4"/>
  <c r="AC57" i="4"/>
  <c r="AB57" i="4"/>
  <c r="AA57" i="4"/>
  <c r="Z57" i="4"/>
  <c r="Y57" i="4"/>
  <c r="X57" i="4"/>
  <c r="W57" i="4"/>
  <c r="V57" i="4"/>
  <c r="U57" i="4"/>
  <c r="T57" i="4"/>
  <c r="S57" i="4"/>
  <c r="R57" i="4"/>
  <c r="Q57" i="4"/>
  <c r="P57" i="4"/>
  <c r="O57" i="4"/>
  <c r="N57" i="4"/>
  <c r="M57" i="4"/>
  <c r="L57" i="4"/>
  <c r="K57" i="4"/>
  <c r="J57" i="4"/>
  <c r="I57" i="4"/>
  <c r="H57" i="4"/>
  <c r="G57" i="4"/>
  <c r="F57" i="4"/>
  <c r="BG55" i="4"/>
  <c r="BF55" i="4"/>
  <c r="BE55" i="4"/>
  <c r="BD55" i="4"/>
  <c r="BC55" i="4"/>
  <c r="BB55" i="4"/>
  <c r="BA55" i="4"/>
  <c r="AZ55" i="4"/>
  <c r="AY55" i="4"/>
  <c r="AX55" i="4"/>
  <c r="AW55" i="4"/>
  <c r="AV55" i="4"/>
  <c r="AU55" i="4"/>
  <c r="AT55" i="4"/>
  <c r="AS55" i="4"/>
  <c r="AR55" i="4"/>
  <c r="AQ55" i="4"/>
  <c r="AP55" i="4"/>
  <c r="AO55" i="4"/>
  <c r="AN55" i="4"/>
  <c r="AM55" i="4"/>
  <c r="AL55" i="4"/>
  <c r="AK55" i="4"/>
  <c r="AJ55" i="4"/>
  <c r="AI55" i="4"/>
  <c r="AH55" i="4"/>
  <c r="Z55" i="4"/>
  <c r="Y55" i="4"/>
  <c r="X55" i="4"/>
  <c r="W55" i="4"/>
  <c r="V55" i="4"/>
  <c r="U55" i="4"/>
  <c r="T55" i="4"/>
  <c r="S55" i="4"/>
  <c r="R55" i="4"/>
  <c r="Q55" i="4"/>
  <c r="P55" i="4"/>
  <c r="O55" i="4"/>
  <c r="N55" i="4"/>
  <c r="M55" i="4"/>
  <c r="L55" i="4"/>
  <c r="K55" i="4"/>
  <c r="J55" i="4"/>
  <c r="I55" i="4"/>
  <c r="H55" i="4"/>
  <c r="G55" i="4"/>
  <c r="F55" i="4"/>
  <c r="BG54" i="4"/>
  <c r="BF54" i="4"/>
  <c r="BE54" i="4"/>
  <c r="BD54" i="4"/>
  <c r="BC54" i="4"/>
  <c r="BB54" i="4"/>
  <c r="BA54" i="4"/>
  <c r="AZ54" i="4"/>
  <c r="AY54" i="4"/>
  <c r="AX54" i="4"/>
  <c r="AW54" i="4"/>
  <c r="AV54" i="4"/>
  <c r="AU54" i="4"/>
  <c r="AT54" i="4"/>
  <c r="AS54" i="4"/>
  <c r="AR54" i="4"/>
  <c r="AQ54" i="4"/>
  <c r="AP54" i="4"/>
  <c r="AO54" i="4"/>
  <c r="AN54" i="4"/>
  <c r="AM54" i="4"/>
  <c r="AL54" i="4"/>
  <c r="AK54" i="4"/>
  <c r="AJ54" i="4"/>
  <c r="AI54" i="4"/>
  <c r="AI44" i="4"/>
  <c r="AH44" i="4"/>
  <c r="AG44" i="4"/>
  <c r="AF44" i="4"/>
  <c r="AB44" i="4"/>
  <c r="AA44" i="4"/>
  <c r="Z44" i="4"/>
  <c r="Y44" i="4"/>
  <c r="X44" i="4"/>
  <c r="W44" i="4"/>
  <c r="V44" i="4"/>
  <c r="U44" i="4"/>
  <c r="T44" i="4"/>
  <c r="S44" i="4"/>
  <c r="R44" i="4"/>
  <c r="Q44" i="4"/>
  <c r="P44" i="4"/>
  <c r="O44" i="4"/>
  <c r="N44" i="4"/>
  <c r="M44" i="4"/>
  <c r="L44" i="4"/>
  <c r="K44" i="4"/>
  <c r="J44" i="4"/>
  <c r="I44" i="4"/>
  <c r="H44" i="4"/>
  <c r="G44" i="4"/>
  <c r="F44" i="4"/>
  <c r="BG43" i="4"/>
  <c r="BF43" i="4"/>
  <c r="BE43" i="4"/>
  <c r="BD43" i="4"/>
  <c r="BC43" i="4"/>
  <c r="BB43" i="4"/>
  <c r="BA43" i="4"/>
  <c r="AZ43" i="4"/>
  <c r="AY43" i="4"/>
  <c r="AX43" i="4"/>
  <c r="AW43" i="4"/>
  <c r="AV43" i="4"/>
  <c r="AU43" i="4"/>
  <c r="AT43" i="4"/>
  <c r="AS43" i="4"/>
  <c r="AR43" i="4"/>
  <c r="AQ43" i="4"/>
  <c r="AP43" i="4"/>
  <c r="AQ32" i="4"/>
  <c r="AO32" i="4"/>
  <c r="AM32" i="4"/>
  <c r="AK32" i="4"/>
  <c r="AI32" i="4"/>
  <c r="AF32" i="4"/>
  <c r="AD32" i="4"/>
  <c r="Z32" i="4"/>
  <c r="X32" i="4"/>
  <c r="R32" i="4"/>
  <c r="P32" i="4"/>
  <c r="N32" i="4"/>
  <c r="K32" i="4"/>
  <c r="J32" i="4"/>
  <c r="G32" i="4"/>
  <c r="BF31" i="4"/>
  <c r="BD31" i="4"/>
  <c r="BB31" i="4"/>
  <c r="AY31" i="4"/>
  <c r="AW31" i="4"/>
  <c r="AO43" i="4"/>
  <c r="AN43" i="4"/>
  <c r="AM43" i="4"/>
  <c r="AL43" i="4"/>
  <c r="AK43" i="4"/>
  <c r="AJ43" i="4"/>
  <c r="AI43" i="4"/>
  <c r="AE43" i="4"/>
  <c r="AD43" i="4"/>
  <c r="AC43" i="4"/>
  <c r="AB43" i="4"/>
  <c r="AA43" i="4"/>
  <c r="Z43" i="4"/>
  <c r="Y43" i="4"/>
  <c r="X43" i="4"/>
  <c r="W43" i="4"/>
  <c r="V43" i="4"/>
  <c r="U43" i="4"/>
  <c r="T43" i="4"/>
  <c r="S43" i="4"/>
  <c r="R43" i="4"/>
  <c r="Q43" i="4"/>
  <c r="P43" i="4"/>
  <c r="O43" i="4"/>
  <c r="N43" i="4"/>
  <c r="M43" i="4"/>
  <c r="L43" i="4"/>
  <c r="K43" i="4"/>
  <c r="J43" i="4"/>
  <c r="I43" i="4"/>
  <c r="H43" i="4"/>
  <c r="G43" i="4"/>
  <c r="F43" i="4"/>
  <c r="BG42" i="4"/>
  <c r="BF42" i="4"/>
  <c r="BE42" i="4"/>
  <c r="BD42" i="4"/>
  <c r="BC42" i="4"/>
  <c r="BB42" i="4"/>
  <c r="BA42" i="4"/>
  <c r="AZ42" i="4"/>
  <c r="AY42" i="4"/>
  <c r="AX42" i="4"/>
  <c r="AW42" i="4"/>
  <c r="AV42" i="4"/>
  <c r="AU42" i="4"/>
  <c r="AT42" i="4"/>
  <c r="AS42" i="4"/>
  <c r="AR42" i="4"/>
  <c r="AQ42" i="4"/>
  <c r="AP42" i="4"/>
  <c r="AO42" i="4"/>
  <c r="AN42" i="4"/>
  <c r="AM42" i="4"/>
  <c r="AL42" i="4"/>
  <c r="AK42" i="4"/>
  <c r="AJ42" i="4"/>
  <c r="AI42" i="4"/>
  <c r="AH42" i="4"/>
  <c r="AG42" i="4"/>
  <c r="AF42" i="4"/>
  <c r="Y42" i="4"/>
  <c r="X42" i="4"/>
  <c r="W42" i="4"/>
  <c r="V42" i="4"/>
  <c r="U42" i="4"/>
  <c r="T42" i="4"/>
  <c r="S42" i="4"/>
  <c r="R42" i="4"/>
  <c r="Q42" i="4"/>
  <c r="P42" i="4"/>
  <c r="O42" i="4"/>
  <c r="N42" i="4"/>
  <c r="M42" i="4"/>
  <c r="L42" i="4"/>
  <c r="K42" i="4"/>
  <c r="J42" i="4"/>
  <c r="I42" i="4"/>
  <c r="H42" i="4"/>
  <c r="G42" i="4"/>
  <c r="F42" i="4"/>
  <c r="BG41" i="4"/>
  <c r="BF41" i="4"/>
  <c r="BE41" i="4"/>
  <c r="BD41" i="4"/>
  <c r="BC41" i="4"/>
  <c r="BB41" i="4"/>
  <c r="BA41" i="4"/>
  <c r="AZ41" i="4"/>
  <c r="AY41" i="4"/>
  <c r="AX41" i="4"/>
  <c r="AW41" i="4"/>
  <c r="AV41" i="4"/>
  <c r="AU41" i="4"/>
  <c r="AT41" i="4"/>
  <c r="AS41" i="4"/>
  <c r="AR41" i="4"/>
  <c r="AQ41" i="4"/>
  <c r="AP41" i="4"/>
  <c r="AO41" i="4"/>
  <c r="AN41" i="4"/>
  <c r="AM41" i="4"/>
  <c r="AL41" i="4"/>
  <c r="AK41" i="4"/>
  <c r="AJ41" i="4"/>
  <c r="AI41" i="4"/>
  <c r="AH41" i="4"/>
  <c r="AA41" i="4"/>
  <c r="Z41" i="4"/>
  <c r="Y41" i="4"/>
  <c r="X41" i="4"/>
  <c r="W41" i="4"/>
  <c r="V41" i="4"/>
  <c r="U41" i="4"/>
  <c r="T41" i="4"/>
  <c r="S41" i="4"/>
  <c r="R41" i="4"/>
  <c r="Q41" i="4"/>
  <c r="P41" i="4"/>
  <c r="O41" i="4"/>
  <c r="N41" i="4"/>
  <c r="M41" i="4"/>
  <c r="L41" i="4"/>
  <c r="K41" i="4"/>
  <c r="J41" i="4"/>
  <c r="I41" i="4"/>
  <c r="H41" i="4"/>
  <c r="G41" i="4"/>
  <c r="F41" i="4"/>
  <c r="BG40" i="4"/>
  <c r="BF40" i="4"/>
  <c r="BE40" i="4"/>
  <c r="BD40" i="4"/>
  <c r="BC40" i="4"/>
  <c r="BB40" i="4"/>
  <c r="BA40" i="4"/>
  <c r="AZ40" i="4"/>
  <c r="AY40" i="4"/>
  <c r="AX40" i="4"/>
  <c r="AW40" i="4"/>
  <c r="AV40" i="4"/>
  <c r="AU40" i="4"/>
  <c r="AT40" i="4"/>
  <c r="AS40" i="4"/>
  <c r="AR40" i="4"/>
  <c r="AQ40" i="4"/>
  <c r="AP40" i="4"/>
  <c r="AO40" i="4"/>
  <c r="AN40" i="4"/>
  <c r="AM40" i="4"/>
  <c r="AL40" i="4"/>
  <c r="AK40" i="4"/>
  <c r="AJ40" i="4"/>
  <c r="AI40" i="4"/>
  <c r="AH40" i="4"/>
  <c r="AA40" i="4"/>
  <c r="Z40" i="4"/>
  <c r="Y40" i="4"/>
  <c r="X40" i="4"/>
  <c r="W40" i="4"/>
  <c r="V40" i="4"/>
  <c r="U40" i="4"/>
  <c r="T40" i="4"/>
  <c r="S40" i="4"/>
  <c r="R40" i="4"/>
  <c r="Q40" i="4"/>
  <c r="P40" i="4"/>
  <c r="O40" i="4"/>
  <c r="N40" i="4"/>
  <c r="M40" i="4"/>
  <c r="L40" i="4"/>
  <c r="K40" i="4"/>
  <c r="J40" i="4"/>
  <c r="I40" i="4"/>
  <c r="H40" i="4"/>
  <c r="G40" i="4"/>
  <c r="F40" i="4"/>
  <c r="BG38" i="4"/>
  <c r="BF38" i="4"/>
  <c r="BE38" i="4"/>
  <c r="BD38" i="4"/>
  <c r="BC38" i="4"/>
  <c r="BB38" i="4"/>
  <c r="BA38" i="4"/>
  <c r="AZ38" i="4"/>
  <c r="AY38" i="4"/>
  <c r="AX38" i="4"/>
  <c r="AW38" i="4"/>
  <c r="AV38" i="4"/>
  <c r="AU38" i="4"/>
  <c r="AT38" i="4"/>
  <c r="AS38" i="4"/>
  <c r="AR38" i="4"/>
  <c r="AQ38" i="4"/>
  <c r="AP38" i="4"/>
  <c r="AO38" i="4"/>
  <c r="AN38" i="4"/>
  <c r="AM38" i="4"/>
  <c r="AL38" i="4"/>
  <c r="AK38" i="4"/>
  <c r="AJ38" i="4"/>
  <c r="AI38" i="4"/>
  <c r="AH38" i="4"/>
  <c r="AG38" i="4"/>
  <c r="AF38" i="4"/>
  <c r="AE38" i="4"/>
  <c r="AB38" i="4"/>
  <c r="AA38" i="4"/>
  <c r="Z38" i="4"/>
  <c r="Y38" i="4"/>
  <c r="X38" i="4"/>
  <c r="W38" i="4"/>
  <c r="V38" i="4"/>
  <c r="U38" i="4"/>
  <c r="T38" i="4"/>
  <c r="S38" i="4"/>
  <c r="R38" i="4"/>
  <c r="Q38" i="4"/>
  <c r="P38" i="4"/>
  <c r="O38" i="4"/>
  <c r="N38" i="4"/>
  <c r="M38" i="4"/>
  <c r="L38" i="4"/>
  <c r="K38" i="4"/>
  <c r="J38" i="4"/>
  <c r="I38" i="4"/>
  <c r="H38" i="4"/>
  <c r="G38" i="4"/>
  <c r="F38" i="4"/>
  <c r="BG37" i="4"/>
  <c r="BF37" i="4"/>
  <c r="BE37" i="4"/>
  <c r="BD37" i="4"/>
  <c r="BC37" i="4"/>
  <c r="BB37" i="4"/>
  <c r="BA37" i="4"/>
  <c r="AZ37" i="4"/>
  <c r="AY37" i="4"/>
  <c r="AX37" i="4"/>
  <c r="AW37" i="4"/>
  <c r="AV37" i="4"/>
  <c r="AU37" i="4"/>
  <c r="AT37" i="4"/>
  <c r="AS37" i="4"/>
  <c r="AR37" i="4"/>
  <c r="AQ37" i="4"/>
  <c r="AP37" i="4"/>
  <c r="AO37" i="4"/>
  <c r="AN37" i="4"/>
  <c r="AM37" i="4"/>
  <c r="AL37" i="4"/>
  <c r="AK37" i="4"/>
  <c r="AJ37" i="4"/>
  <c r="AI37" i="4"/>
  <c r="AH37" i="4"/>
  <c r="AG37" i="4"/>
  <c r="AF37" i="4"/>
  <c r="AE37" i="4"/>
  <c r="AD37" i="4"/>
  <c r="W37" i="4"/>
  <c r="V37" i="4"/>
  <c r="U37" i="4"/>
  <c r="T37" i="4"/>
  <c r="S37" i="4"/>
  <c r="R37" i="4"/>
  <c r="Q37" i="4"/>
  <c r="P37" i="4"/>
  <c r="O37" i="4"/>
  <c r="N37" i="4"/>
  <c r="M37" i="4"/>
  <c r="L37" i="4"/>
  <c r="L33" i="4"/>
  <c r="J33" i="4"/>
  <c r="I33" i="4"/>
  <c r="F33" i="4"/>
  <c r="BF32" i="4"/>
  <c r="BD32" i="4"/>
  <c r="BB32" i="4"/>
  <c r="AZ32" i="4"/>
  <c r="AX32" i="4"/>
  <c r="AV32" i="4"/>
  <c r="AU32" i="4"/>
  <c r="AS32" i="4"/>
  <c r="AL32" i="4"/>
  <c r="AJ32" i="4"/>
  <c r="AC32" i="4"/>
  <c r="AA32" i="4"/>
  <c r="S32" i="4"/>
  <c r="O32" i="4"/>
  <c r="M32" i="4"/>
  <c r="I32" i="4"/>
  <c r="BG31" i="4"/>
  <c r="BA31" i="4"/>
  <c r="K37" i="4"/>
  <c r="J37" i="4"/>
  <c r="I37" i="4"/>
  <c r="H37" i="4"/>
  <c r="G37" i="4"/>
  <c r="F37" i="4"/>
  <c r="BG36" i="4"/>
  <c r="BF36" i="4"/>
  <c r="BE36" i="4"/>
  <c r="BD36" i="4"/>
  <c r="BC36" i="4"/>
  <c r="BB36" i="4"/>
  <c r="BA36" i="4"/>
  <c r="AZ36" i="4"/>
  <c r="AY36" i="4"/>
  <c r="AX36" i="4"/>
  <c r="AW36" i="4"/>
  <c r="AV36" i="4"/>
  <c r="AU36" i="4"/>
  <c r="AT36" i="4"/>
  <c r="AS36" i="4"/>
  <c r="AR36" i="4"/>
  <c r="AQ36" i="4"/>
  <c r="AP36" i="4"/>
  <c r="AO36" i="4"/>
  <c r="AN36" i="4"/>
  <c r="AM36" i="4"/>
  <c r="AL36" i="4"/>
  <c r="AK36" i="4"/>
  <c r="AJ36" i="4"/>
  <c r="AI36" i="4"/>
  <c r="AH36" i="4"/>
  <c r="AG36" i="4"/>
  <c r="AF36" i="4"/>
  <c r="AE36" i="4"/>
  <c r="AD36" i="4"/>
  <c r="W36" i="4"/>
  <c r="V36" i="4"/>
  <c r="U36" i="4"/>
  <c r="T36" i="4"/>
  <c r="S36" i="4"/>
  <c r="R36" i="4"/>
  <c r="Q36" i="4"/>
  <c r="P36" i="4"/>
  <c r="O36" i="4"/>
  <c r="N36" i="4"/>
  <c r="M36" i="4"/>
  <c r="L36" i="4"/>
  <c r="K36" i="4"/>
  <c r="J36" i="4"/>
  <c r="I36" i="4"/>
  <c r="H36" i="4"/>
  <c r="G36" i="4"/>
  <c r="F36" i="4"/>
  <c r="BG35" i="4"/>
  <c r="BF35" i="4"/>
  <c r="BE35" i="4"/>
  <c r="BD35" i="4"/>
  <c r="BC35" i="4"/>
  <c r="BB35" i="4"/>
  <c r="BA35" i="4"/>
  <c r="AZ35" i="4"/>
  <c r="AY35" i="4"/>
  <c r="AX35" i="4"/>
  <c r="AW35" i="4"/>
  <c r="AV35" i="4"/>
  <c r="AU35" i="4"/>
  <c r="AT35" i="4"/>
  <c r="AS35" i="4"/>
  <c r="AR35" i="4"/>
  <c r="AQ35" i="4"/>
  <c r="AP35" i="4"/>
  <c r="AO35" i="4"/>
  <c r="AN35" i="4"/>
  <c r="AM35" i="4"/>
  <c r="AL35" i="4"/>
  <c r="AK35" i="4"/>
  <c r="AJ35" i="4"/>
  <c r="AI35" i="4"/>
  <c r="AH35" i="4"/>
  <c r="AG35" i="4"/>
  <c r="AF35" i="4"/>
  <c r="AE35" i="4"/>
  <c r="AD35" i="4"/>
  <c r="AC35" i="4"/>
  <c r="AB35" i="4"/>
  <c r="AA35" i="4"/>
  <c r="Z35" i="4"/>
  <c r="Y35" i="4"/>
  <c r="X35" i="4"/>
  <c r="W35" i="4"/>
  <c r="V35" i="4"/>
  <c r="U35" i="4"/>
  <c r="R35" i="4"/>
  <c r="Q35" i="4"/>
  <c r="P35" i="4"/>
  <c r="O35" i="4"/>
  <c r="N35" i="4"/>
  <c r="M35" i="4"/>
  <c r="L35" i="4"/>
  <c r="K35" i="4"/>
  <c r="J35" i="4"/>
  <c r="I35" i="4"/>
  <c r="H35" i="4"/>
  <c r="G35" i="4"/>
  <c r="F35" i="4"/>
  <c r="BG34" i="4"/>
  <c r="BF34" i="4"/>
  <c r="BE34" i="4"/>
  <c r="BD34" i="4"/>
  <c r="BC34" i="4"/>
  <c r="BB34" i="4"/>
  <c r="BA34" i="4"/>
  <c r="AZ34" i="4"/>
  <c r="AY34" i="4"/>
  <c r="AX34" i="4"/>
  <c r="AW34" i="4"/>
  <c r="AV34" i="4"/>
  <c r="AU34" i="4"/>
  <c r="AT34" i="4"/>
  <c r="AS34" i="4"/>
  <c r="AR34" i="4"/>
  <c r="AQ34" i="4"/>
  <c r="AP34" i="4"/>
  <c r="AO34" i="4"/>
  <c r="AN34" i="4"/>
  <c r="AM34" i="4"/>
  <c r="AL34" i="4"/>
  <c r="AK34" i="4"/>
  <c r="AJ34" i="4"/>
  <c r="AI34" i="4"/>
  <c r="AH34" i="4"/>
  <c r="AG34" i="4"/>
  <c r="AF34" i="4"/>
  <c r="AE34" i="4"/>
  <c r="AD34" i="4"/>
  <c r="AC34" i="4"/>
  <c r="AB34" i="4"/>
  <c r="AA34" i="4"/>
  <c r="Z34" i="4"/>
  <c r="Y34" i="4"/>
  <c r="V34" i="4"/>
  <c r="U34" i="4"/>
  <c r="T34" i="4"/>
  <c r="S34" i="4"/>
  <c r="R34" i="4"/>
  <c r="Q34" i="4"/>
  <c r="P34" i="4"/>
  <c r="O34" i="4"/>
  <c r="N34" i="4"/>
  <c r="M34" i="4"/>
  <c r="L34" i="4"/>
  <c r="K34" i="4"/>
  <c r="J34" i="4"/>
  <c r="I34" i="4"/>
  <c r="H34" i="4"/>
  <c r="G34" i="4"/>
  <c r="F34" i="4"/>
  <c r="BG33" i="4"/>
  <c r="BF33" i="4"/>
  <c r="BE33" i="4"/>
  <c r="BD33" i="4"/>
  <c r="BC33" i="4"/>
  <c r="BB33" i="4"/>
  <c r="BA33" i="4"/>
  <c r="AZ33" i="4"/>
  <c r="AY33" i="4"/>
  <c r="AX33" i="4"/>
  <c r="AW33" i="4"/>
  <c r="AV33" i="4"/>
  <c r="AU33" i="4"/>
  <c r="AT33" i="4"/>
  <c r="AS33" i="4"/>
  <c r="AR33" i="4"/>
  <c r="AQ33" i="4"/>
  <c r="AP33" i="4"/>
  <c r="AO33" i="4"/>
  <c r="AN33" i="4"/>
  <c r="AM33" i="4"/>
  <c r="AL33" i="4"/>
  <c r="AK33" i="4"/>
  <c r="AJ33" i="4"/>
  <c r="AI33" i="4"/>
  <c r="AH33" i="4"/>
  <c r="AG33" i="4"/>
  <c r="AF33" i="4"/>
  <c r="AE33" i="4"/>
  <c r="AD33" i="4"/>
  <c r="AC33" i="4"/>
  <c r="AB33" i="4"/>
  <c r="AA33" i="4"/>
  <c r="Z33" i="4"/>
  <c r="Y33" i="4"/>
  <c r="U33" i="4"/>
  <c r="T33" i="4"/>
  <c r="S33" i="4"/>
  <c r="R33" i="4"/>
  <c r="Q33" i="4"/>
  <c r="P33" i="4"/>
  <c r="O33" i="4"/>
  <c r="N33" i="4"/>
  <c r="M33" i="4"/>
  <c r="K33" i="4"/>
  <c r="H33" i="4"/>
  <c r="G33" i="4"/>
  <c r="BG32" i="4"/>
  <c r="BE32" i="4"/>
  <c r="BC32" i="4"/>
  <c r="BA32" i="4"/>
  <c r="AY32" i="4"/>
  <c r="AW32" i="4"/>
  <c r="AT32" i="4"/>
  <c r="AR32" i="4"/>
  <c r="AP32" i="4"/>
  <c r="AN32" i="4"/>
  <c r="AH32" i="4"/>
  <c r="AG32" i="4"/>
  <c r="AE32" i="4"/>
  <c r="AB32" i="4"/>
  <c r="Y32" i="4"/>
  <c r="W32" i="4"/>
  <c r="Q32" i="4"/>
  <c r="L32" i="4"/>
  <c r="H32" i="4"/>
  <c r="F32" i="4"/>
  <c r="BE31" i="4"/>
  <c r="BC31" i="4"/>
  <c r="AZ31" i="4"/>
  <c r="AX31" i="4"/>
  <c r="AV31" i="4"/>
  <c r="AU31" i="4"/>
  <c r="AT31" i="4"/>
  <c r="AS31" i="4"/>
  <c r="AR31" i="4"/>
  <c r="AQ31" i="4"/>
  <c r="AP31" i="4"/>
  <c r="AO31" i="4"/>
  <c r="AN31" i="4"/>
  <c r="AM31" i="4"/>
  <c r="AL31" i="4"/>
  <c r="AK31" i="4"/>
  <c r="AJ31" i="4"/>
  <c r="AI31" i="4"/>
  <c r="AH31" i="4"/>
  <c r="AG31" i="4"/>
  <c r="AF31" i="4"/>
  <c r="AE31" i="4"/>
  <c r="AD31" i="4"/>
  <c r="AC31" i="4"/>
  <c r="AB31" i="4"/>
  <c r="AA31" i="4"/>
  <c r="Z31" i="4"/>
  <c r="Y31" i="4"/>
  <c r="X31" i="4"/>
  <c r="W31" i="4"/>
  <c r="S31" i="4"/>
  <c r="R31" i="4"/>
  <c r="Q31" i="4"/>
  <c r="P31" i="4"/>
  <c r="O31" i="4"/>
  <c r="N31" i="4"/>
  <c r="M31" i="4"/>
  <c r="L31" i="4"/>
  <c r="K31" i="4"/>
  <c r="J31" i="4"/>
  <c r="I31" i="4"/>
  <c r="H31" i="4"/>
  <c r="G31" i="4"/>
  <c r="F31" i="4"/>
  <c r="BG30" i="4"/>
  <c r="BF30" i="4"/>
  <c r="BE30" i="4"/>
  <c r="BD30" i="4"/>
  <c r="BC30" i="4"/>
  <c r="BB30" i="4"/>
  <c r="BA30" i="4"/>
  <c r="AZ30" i="4"/>
  <c r="AY30" i="4"/>
  <c r="AX30" i="4"/>
  <c r="AW30" i="4"/>
  <c r="AV30" i="4"/>
  <c r="AU30" i="4"/>
  <c r="AT30" i="4"/>
  <c r="AS30" i="4"/>
  <c r="AR30" i="4"/>
  <c r="AQ30" i="4"/>
  <c r="AP30" i="4"/>
  <c r="AO30" i="4"/>
  <c r="AN30" i="4"/>
  <c r="AM30" i="4"/>
  <c r="AL30" i="4"/>
  <c r="AK30" i="4"/>
  <c r="AJ30" i="4"/>
  <c r="AI30" i="4"/>
  <c r="AH30" i="4"/>
  <c r="AG30" i="4"/>
  <c r="AF30" i="4"/>
  <c r="AE30" i="4"/>
  <c r="AD30" i="4"/>
  <c r="AC30" i="4"/>
  <c r="AB30" i="4"/>
  <c r="AA30" i="4"/>
  <c r="Z30" i="4"/>
  <c r="Y30" i="4"/>
  <c r="X30" i="4"/>
  <c r="W30" i="4"/>
  <c r="S30" i="4"/>
  <c r="R30" i="4"/>
  <c r="Q30" i="4"/>
  <c r="P30" i="4"/>
  <c r="O30" i="4"/>
  <c r="N30" i="4"/>
  <c r="M30" i="4"/>
  <c r="L30" i="4"/>
  <c r="K30" i="4"/>
  <c r="J30" i="4"/>
  <c r="I30" i="4"/>
  <c r="H30" i="4"/>
  <c r="C12" i="6"/>
  <c r="C38" i="6" s="1"/>
  <c r="G38" i="6" s="1"/>
  <c r="AP68" i="3"/>
  <c r="G24" i="6"/>
  <c r="G21" i="6"/>
  <c r="C36" i="6"/>
  <c r="G36" i="6" s="1"/>
  <c r="C37" i="6"/>
  <c r="G37" i="6" s="1"/>
  <c r="H110" i="5"/>
  <c r="B74" i="4"/>
  <c r="H109" i="5"/>
  <c r="B73" i="4"/>
  <c r="G111" i="5"/>
  <c r="B71" i="4"/>
  <c r="H106" i="5"/>
  <c r="H105" i="5"/>
  <c r="B70" i="4"/>
  <c r="H104" i="5"/>
  <c r="H103" i="5"/>
  <c r="B68" i="4"/>
  <c r="H102" i="5"/>
  <c r="B67" i="4"/>
  <c r="B57" i="4"/>
  <c r="H92" i="5"/>
  <c r="H88" i="5"/>
  <c r="B54" i="4"/>
  <c r="H87" i="5"/>
  <c r="B53" i="4"/>
  <c r="G81" i="5"/>
  <c r="C82" i="5"/>
  <c r="G82" i="5" s="1"/>
  <c r="B45" i="4"/>
  <c r="H78" i="5"/>
  <c r="B44" i="4"/>
  <c r="H77" i="5"/>
  <c r="H76" i="5"/>
  <c r="B43" i="4"/>
  <c r="H75" i="5"/>
  <c r="B42" i="4"/>
  <c r="H74" i="5"/>
  <c r="B41" i="4"/>
  <c r="H73" i="5"/>
  <c r="G79" i="5"/>
  <c r="B40" i="4"/>
  <c r="H70" i="5"/>
  <c r="B38" i="4"/>
  <c r="H68" i="5"/>
  <c r="B36" i="4"/>
  <c r="B35" i="4"/>
  <c r="H67" i="5"/>
  <c r="H66" i="5"/>
  <c r="B34" i="4"/>
  <c r="B33" i="4"/>
  <c r="H65" i="5"/>
  <c r="H64" i="5"/>
  <c r="B32" i="4"/>
  <c r="B31" i="4"/>
  <c r="H63" i="5"/>
  <c r="B30" i="4"/>
  <c r="H62" i="5"/>
  <c r="H101" i="5"/>
  <c r="B66" i="4"/>
  <c r="B60" i="4"/>
  <c r="H95" i="5"/>
  <c r="H93" i="5"/>
  <c r="B58" i="4"/>
  <c r="C94" i="5"/>
  <c r="G94" i="5" s="1"/>
  <c r="C11" i="6"/>
  <c r="C44" i="6" s="1"/>
  <c r="G44" i="6" s="1"/>
  <c r="B6" i="1"/>
  <c r="C97" i="5"/>
  <c r="G97" i="5" s="1"/>
  <c r="C86" i="5"/>
  <c r="G86" i="5" s="1"/>
  <c r="G56" i="2"/>
  <c r="M56" i="2" s="1"/>
  <c r="G72" i="2"/>
  <c r="M72" i="2" s="1"/>
  <c r="C99" i="5"/>
  <c r="G99" i="5" s="1"/>
  <c r="C83" i="5"/>
  <c r="G83" i="5" s="1"/>
  <c r="C84" i="5"/>
  <c r="G84" i="5" s="1"/>
  <c r="C85" i="5"/>
  <c r="G85" i="5" s="1"/>
  <c r="C100" i="5"/>
  <c r="G100" i="5" s="1"/>
  <c r="C98" i="5"/>
  <c r="G98" i="5" s="1"/>
  <c r="G11" i="2"/>
  <c r="B7" i="1"/>
  <c r="C96" i="5"/>
  <c r="G96" i="5" s="1"/>
  <c r="C8" i="6"/>
  <c r="C10" i="6" s="1"/>
  <c r="C32" i="6" s="1"/>
  <c r="G32" i="6" s="1"/>
  <c r="C24" i="5"/>
  <c r="C89" i="5"/>
  <c r="G89" i="5" s="1"/>
  <c r="C69" i="5"/>
  <c r="G69" i="5" s="1"/>
  <c r="G71" i="5" s="1"/>
  <c r="B12" i="1"/>
  <c r="K90" i="4"/>
  <c r="H90" i="4"/>
  <c r="Z90" i="4"/>
  <c r="BF90" i="4"/>
  <c r="BE90" i="4"/>
  <c r="BC90" i="4"/>
  <c r="AZ90" i="4"/>
  <c r="AV90" i="4"/>
  <c r="AQ90" i="4"/>
  <c r="AN90" i="4"/>
  <c r="AJ90" i="4"/>
  <c r="AG90" i="4"/>
  <c r="AD90" i="4"/>
  <c r="AC90" i="4"/>
  <c r="W90" i="4"/>
  <c r="P90" i="4"/>
  <c r="M90" i="4"/>
  <c r="L90" i="4"/>
  <c r="J90" i="4"/>
  <c r="BD90" i="4"/>
  <c r="BB90" i="4"/>
  <c r="AY90" i="4"/>
  <c r="AW90" i="4"/>
  <c r="AT90" i="4"/>
  <c r="AR90" i="4"/>
  <c r="AO90" i="4"/>
  <c r="AL90" i="4"/>
  <c r="AI90" i="4"/>
  <c r="AF90" i="4"/>
  <c r="AA90" i="4"/>
  <c r="Y90" i="4"/>
  <c r="V90" i="4"/>
  <c r="T90" i="4"/>
  <c r="R90" i="4"/>
  <c r="O90" i="4"/>
  <c r="BG90" i="4"/>
  <c r="BA90" i="4"/>
  <c r="AX90" i="4"/>
  <c r="AU90" i="4"/>
  <c r="AS90" i="4"/>
  <c r="AP90" i="4"/>
  <c r="AM90" i="4"/>
  <c r="AK90" i="4"/>
  <c r="AH90" i="4"/>
  <c r="AE90" i="4"/>
  <c r="AB90" i="4"/>
  <c r="X90" i="4"/>
  <c r="U90" i="4"/>
  <c r="S90" i="4"/>
  <c r="Q90" i="4"/>
  <c r="N90" i="4"/>
  <c r="I90" i="4"/>
  <c r="F90" i="4"/>
  <c r="AA88" i="4"/>
  <c r="J88" i="4"/>
  <c r="T88" i="4"/>
  <c r="R88" i="4"/>
  <c r="N88" i="4"/>
  <c r="K88" i="4"/>
  <c r="I88" i="4"/>
  <c r="Z88" i="4"/>
  <c r="V88" i="4"/>
  <c r="Q88" i="4"/>
  <c r="M88" i="4"/>
  <c r="H88" i="4"/>
  <c r="G88" i="4"/>
  <c r="BA88" i="4"/>
  <c r="BC88" i="4"/>
  <c r="X88" i="4"/>
  <c r="AQ88" i="4"/>
  <c r="AL88" i="4"/>
  <c r="AI88" i="4"/>
  <c r="AF88" i="4"/>
  <c r="AB88" i="4"/>
  <c r="Y88" i="4"/>
  <c r="S88" i="4"/>
  <c r="O88" i="4"/>
  <c r="W88" i="4"/>
  <c r="F88" i="4"/>
  <c r="L88" i="4"/>
  <c r="P88" i="4"/>
  <c r="U88" i="4"/>
  <c r="AC88" i="4"/>
  <c r="AE88" i="4"/>
  <c r="AH88" i="4"/>
  <c r="AK88" i="4"/>
  <c r="AN88" i="4"/>
  <c r="AP88" i="4"/>
  <c r="AS88" i="4"/>
  <c r="AU88" i="4"/>
  <c r="AW88" i="4"/>
  <c r="AY88" i="4"/>
  <c r="BD88" i="4"/>
  <c r="BF88" i="4"/>
  <c r="BG88" i="4"/>
  <c r="BE88" i="4"/>
  <c r="BB88" i="4"/>
  <c r="AZ88" i="4"/>
  <c r="AX88" i="4"/>
  <c r="AV88" i="4"/>
  <c r="AT88" i="4"/>
  <c r="AR88" i="4"/>
  <c r="AO88" i="4"/>
  <c r="AM88" i="4"/>
  <c r="AJ88" i="4"/>
  <c r="AG88" i="4"/>
  <c r="AD88" i="4"/>
  <c r="AL69" i="4"/>
  <c r="AK69" i="4"/>
  <c r="AJ69" i="4"/>
  <c r="AI69" i="4"/>
  <c r="AU70" i="4"/>
  <c r="AT70" i="4"/>
  <c r="AS70" i="4"/>
  <c r="AR70" i="4"/>
  <c r="AQ70" i="4"/>
  <c r="AP70" i="4"/>
  <c r="AO70" i="4"/>
  <c r="AN70" i="4"/>
  <c r="AM70" i="4"/>
  <c r="AL70" i="4"/>
  <c r="AK70" i="4"/>
  <c r="AJ70" i="4"/>
  <c r="AI70" i="4"/>
  <c r="AH70" i="4"/>
  <c r="AG70" i="4"/>
  <c r="AF70" i="4"/>
  <c r="AE70" i="4"/>
  <c r="AD70" i="4"/>
  <c r="AC70" i="4"/>
  <c r="AB70" i="4"/>
  <c r="AA70" i="4"/>
  <c r="Z70" i="4"/>
  <c r="Y70" i="4"/>
  <c r="X70" i="4"/>
  <c r="W70" i="4"/>
  <c r="V70" i="4"/>
  <c r="U70" i="4"/>
  <c r="T70" i="4"/>
  <c r="S70" i="4"/>
  <c r="R70" i="4"/>
  <c r="Q70" i="4"/>
  <c r="P70" i="4"/>
  <c r="O70" i="4"/>
  <c r="N70" i="4"/>
  <c r="M70" i="4"/>
  <c r="L70" i="4"/>
  <c r="K70" i="4"/>
  <c r="J70" i="4"/>
  <c r="I70" i="4"/>
  <c r="H70" i="4"/>
  <c r="G70" i="4"/>
  <c r="F70" i="4"/>
  <c r="BG69" i="4"/>
  <c r="BF69" i="4"/>
  <c r="BE69" i="4"/>
  <c r="BD69" i="4"/>
  <c r="BC69" i="4"/>
  <c r="BB69" i="4"/>
  <c r="BA69" i="4"/>
  <c r="AZ69" i="4"/>
  <c r="AY69" i="4"/>
  <c r="AX69" i="4"/>
  <c r="AW69" i="4"/>
  <c r="AV69" i="4"/>
  <c r="AU69" i="4"/>
  <c r="AT69" i="4"/>
  <c r="AS69" i="4"/>
  <c r="AW68" i="4"/>
  <c r="AV68" i="4"/>
  <c r="AU68" i="4"/>
  <c r="AT68" i="4"/>
  <c r="AS68" i="4"/>
  <c r="AR68" i="4"/>
  <c r="AQ68" i="4"/>
  <c r="AP68" i="4"/>
  <c r="AO68" i="4"/>
  <c r="AN68" i="4"/>
  <c r="AM68" i="4"/>
  <c r="AL68" i="4"/>
  <c r="AK68" i="4"/>
  <c r="AJ68" i="4"/>
  <c r="AI68" i="4"/>
  <c r="AH68" i="4"/>
  <c r="AG68" i="4"/>
  <c r="AF68" i="4"/>
  <c r="AE68" i="4"/>
  <c r="AD68" i="4"/>
  <c r="AC68" i="4"/>
  <c r="AB68" i="4"/>
  <c r="AA68" i="4"/>
  <c r="Z68" i="4"/>
  <c r="Y68" i="4"/>
  <c r="X68" i="4"/>
  <c r="W68" i="4"/>
  <c r="V68" i="4"/>
  <c r="U68" i="4"/>
  <c r="T68" i="4"/>
  <c r="S68" i="4"/>
  <c r="R68" i="4"/>
  <c r="Q68" i="4"/>
  <c r="P68" i="4"/>
  <c r="O68" i="4"/>
  <c r="N68" i="4"/>
  <c r="M68" i="4"/>
  <c r="L68" i="4"/>
  <c r="K68" i="4"/>
  <c r="J68" i="4"/>
  <c r="I68" i="4"/>
  <c r="H68" i="4"/>
  <c r="G68" i="4"/>
  <c r="F68" i="4"/>
  <c r="BG67" i="4"/>
  <c r="BF67" i="4"/>
  <c r="BE67" i="4"/>
  <c r="BD67" i="4"/>
  <c r="BC67" i="4"/>
  <c r="BB67" i="4"/>
  <c r="BA67" i="4"/>
  <c r="AZ67" i="4"/>
  <c r="AY67" i="4"/>
  <c r="AX67" i="4"/>
  <c r="AW67" i="4"/>
  <c r="AV67" i="4"/>
  <c r="AU67" i="4"/>
  <c r="AT67" i="4"/>
  <c r="AS67" i="4"/>
  <c r="AR67" i="4"/>
  <c r="AQ67" i="4"/>
  <c r="AP67" i="4"/>
  <c r="AO67" i="4"/>
  <c r="AN67" i="4"/>
  <c r="AM67" i="4"/>
  <c r="AL67" i="4"/>
  <c r="AK67" i="4"/>
  <c r="AJ67" i="4"/>
  <c r="AI67" i="4"/>
  <c r="AH67" i="4"/>
  <c r="AG67" i="4"/>
  <c r="AF67" i="4"/>
  <c r="AE67" i="4"/>
  <c r="AD67" i="4"/>
  <c r="AC67" i="4"/>
  <c r="AB67" i="4"/>
  <c r="AA67" i="4"/>
  <c r="Z67" i="4"/>
  <c r="Y67" i="4"/>
  <c r="X67" i="4"/>
  <c r="W67" i="4"/>
  <c r="V67" i="4"/>
  <c r="U67" i="4"/>
  <c r="T67" i="4"/>
  <c r="S67" i="4"/>
  <c r="R67" i="4"/>
  <c r="Q67" i="4"/>
  <c r="P67" i="4"/>
  <c r="O67" i="4"/>
  <c r="N67" i="4"/>
  <c r="M67" i="4"/>
  <c r="L67" i="4"/>
  <c r="K67" i="4"/>
  <c r="J67" i="4"/>
  <c r="I67" i="4"/>
  <c r="H67" i="4"/>
  <c r="G67" i="4"/>
  <c r="F67" i="4"/>
  <c r="BG66" i="4"/>
  <c r="BF66" i="4"/>
  <c r="BE66" i="4"/>
  <c r="BD66" i="4"/>
  <c r="BC66" i="4"/>
  <c r="BB66" i="4"/>
  <c r="BA66" i="4"/>
  <c r="AZ66" i="4"/>
  <c r="AY66" i="4"/>
  <c r="AX66" i="4"/>
  <c r="AW66" i="4"/>
  <c r="AV66" i="4"/>
  <c r="AU66" i="4"/>
  <c r="AT66" i="4"/>
  <c r="AS66" i="4"/>
  <c r="AR66" i="4"/>
  <c r="AQ66" i="4"/>
  <c r="AP66" i="4"/>
  <c r="AO66" i="4"/>
  <c r="AN66" i="4"/>
  <c r="AM66" i="4"/>
  <c r="AL66" i="4"/>
  <c r="AK66" i="4"/>
  <c r="AJ66" i="4"/>
  <c r="AI66" i="4"/>
  <c r="AH66" i="4"/>
  <c r="AG66" i="4"/>
  <c r="AF66" i="4"/>
  <c r="AE66" i="4"/>
  <c r="AD66" i="4"/>
  <c r="AC66" i="4"/>
  <c r="AB66" i="4"/>
  <c r="AA66" i="4"/>
  <c r="Z66" i="4"/>
  <c r="Y66" i="4"/>
  <c r="X66" i="4"/>
  <c r="W66" i="4"/>
  <c r="V66" i="4"/>
  <c r="U66" i="4"/>
  <c r="T66" i="4"/>
  <c r="S66" i="4"/>
  <c r="R66" i="4"/>
  <c r="Q66" i="4"/>
  <c r="P66" i="4"/>
  <c r="O66" i="4"/>
  <c r="N66" i="4"/>
  <c r="M66" i="4"/>
  <c r="L66" i="4"/>
  <c r="K66" i="4"/>
  <c r="J66" i="4"/>
  <c r="I66" i="4"/>
  <c r="H66" i="4"/>
  <c r="G66" i="4"/>
  <c r="F66" i="4"/>
  <c r="BG65" i="4"/>
  <c r="BF65" i="4"/>
  <c r="BE65" i="4"/>
  <c r="BD65" i="4"/>
  <c r="BC65" i="4"/>
  <c r="BB65" i="4"/>
  <c r="BA65" i="4"/>
  <c r="AZ65" i="4"/>
  <c r="AY65" i="4"/>
  <c r="AX65" i="4"/>
  <c r="AW65" i="4"/>
  <c r="AV65" i="4"/>
  <c r="AU65" i="4"/>
  <c r="AT65" i="4"/>
  <c r="AS65" i="4"/>
  <c r="AR65" i="4"/>
  <c r="AQ65" i="4"/>
  <c r="AP65" i="4"/>
  <c r="AO65" i="4"/>
  <c r="AN65" i="4"/>
  <c r="AM65" i="4"/>
  <c r="AI65" i="4"/>
  <c r="AH65" i="4"/>
  <c r="AG65" i="4"/>
  <c r="AF65" i="4"/>
  <c r="AE65" i="4"/>
  <c r="AD65" i="4"/>
  <c r="AC65" i="4"/>
  <c r="AB65" i="4"/>
  <c r="AA65" i="4"/>
  <c r="Z65" i="4"/>
  <c r="Y65" i="4"/>
  <c r="X65" i="4"/>
  <c r="W65" i="4"/>
  <c r="V65" i="4"/>
  <c r="U65" i="4"/>
  <c r="T65" i="4"/>
  <c r="S65" i="4"/>
  <c r="R65" i="4"/>
  <c r="Q65" i="4"/>
  <c r="P65" i="4"/>
  <c r="O65" i="4"/>
  <c r="N65" i="4"/>
  <c r="M65" i="4"/>
  <c r="L65" i="4"/>
  <c r="K65" i="4"/>
  <c r="J65" i="4"/>
  <c r="I65" i="4"/>
  <c r="H65" i="4"/>
  <c r="G65" i="4"/>
  <c r="F65" i="4"/>
  <c r="BG64" i="4"/>
  <c r="BF64" i="4"/>
  <c r="BE64" i="4"/>
  <c r="BD64" i="4"/>
  <c r="BC64" i="4"/>
  <c r="BB64" i="4"/>
  <c r="BA64" i="4"/>
  <c r="AZ64" i="4"/>
  <c r="AY64" i="4"/>
  <c r="AX64" i="4"/>
  <c r="AW64" i="4"/>
  <c r="AV64" i="4"/>
  <c r="AU64" i="4"/>
  <c r="AT64" i="4"/>
  <c r="AS64" i="4"/>
  <c r="AR64" i="4"/>
  <c r="AQ64" i="4"/>
  <c r="AP64" i="4"/>
  <c r="AO64" i="4"/>
  <c r="AN64" i="4"/>
  <c r="AM64" i="4"/>
  <c r="AL64" i="4"/>
  <c r="AG64" i="4"/>
  <c r="AF64" i="4"/>
  <c r="AE64" i="4"/>
  <c r="AD64" i="4"/>
  <c r="AC64" i="4"/>
  <c r="AB64" i="4"/>
  <c r="AA64" i="4"/>
  <c r="Z64" i="4"/>
  <c r="Y64" i="4"/>
  <c r="X64" i="4"/>
  <c r="W64" i="4"/>
  <c r="V64" i="4"/>
  <c r="U64" i="4"/>
  <c r="T64" i="4"/>
  <c r="S64" i="4"/>
  <c r="R64" i="4"/>
  <c r="Q64" i="4"/>
  <c r="P64" i="4"/>
  <c r="O64" i="4"/>
  <c r="N64" i="4"/>
  <c r="M64" i="4"/>
  <c r="L64" i="4"/>
  <c r="K64" i="4"/>
  <c r="J64" i="4"/>
  <c r="I64" i="4"/>
  <c r="H64" i="4"/>
  <c r="G64" i="4"/>
  <c r="F64" i="4"/>
  <c r="BG63" i="4"/>
  <c r="BF63" i="4"/>
  <c r="BE63" i="4"/>
  <c r="BD63" i="4"/>
  <c r="BC63" i="4"/>
  <c r="BB63" i="4"/>
  <c r="BA63" i="4"/>
  <c r="AZ63" i="4"/>
  <c r="AY63" i="4"/>
  <c r="AX63" i="4"/>
  <c r="AW63" i="4"/>
  <c r="AV63" i="4"/>
  <c r="AU63" i="4"/>
  <c r="AT63" i="4"/>
  <c r="AS63" i="4"/>
  <c r="AR63" i="4"/>
  <c r="AQ63" i="4"/>
  <c r="AP63" i="4"/>
  <c r="AO63" i="4"/>
  <c r="AN63" i="4"/>
  <c r="AM63" i="4"/>
  <c r="AL63" i="4"/>
  <c r="AH63" i="4"/>
  <c r="AG63" i="4"/>
  <c r="AF63" i="4"/>
  <c r="AE63" i="4"/>
  <c r="AD63" i="4"/>
  <c r="AC63" i="4"/>
  <c r="AB63" i="4"/>
  <c r="AA63" i="4"/>
  <c r="Z63" i="4"/>
  <c r="Y63" i="4"/>
  <c r="X63" i="4"/>
  <c r="W63" i="4"/>
  <c r="V63" i="4"/>
  <c r="U63" i="4"/>
  <c r="T63" i="4"/>
  <c r="S63" i="4"/>
  <c r="R63" i="4"/>
  <c r="Q63" i="4"/>
  <c r="P63" i="4"/>
  <c r="O63" i="4"/>
  <c r="N63" i="4"/>
  <c r="M63" i="4"/>
  <c r="L63" i="4"/>
  <c r="K63" i="4"/>
  <c r="J63" i="4"/>
  <c r="I63" i="4"/>
  <c r="H63" i="4"/>
  <c r="G63" i="4"/>
  <c r="F63" i="4"/>
  <c r="BG62" i="4"/>
  <c r="BF62" i="4"/>
  <c r="BE62" i="4"/>
  <c r="BD62" i="4"/>
  <c r="BC62" i="4"/>
  <c r="BB62" i="4"/>
  <c r="BA62" i="4"/>
  <c r="AZ62" i="4"/>
  <c r="AY62" i="4"/>
  <c r="AX62" i="4"/>
  <c r="AW62" i="4"/>
  <c r="AV62" i="4"/>
  <c r="AU62" i="4"/>
  <c r="AT62" i="4"/>
  <c r="AS62" i="4"/>
  <c r="AR62" i="4"/>
  <c r="AQ62" i="4"/>
  <c r="AP62" i="4"/>
  <c r="AO62" i="4"/>
  <c r="AN62" i="4"/>
  <c r="AM62" i="4"/>
  <c r="AL62" i="4"/>
  <c r="AI62" i="4"/>
  <c r="AH62" i="4"/>
  <c r="AG62" i="4"/>
  <c r="AF62" i="4"/>
  <c r="AE62" i="4"/>
  <c r="AD62" i="4"/>
  <c r="AC62" i="4"/>
  <c r="AB62" i="4"/>
  <c r="AA62" i="4"/>
  <c r="Z62" i="4"/>
  <c r="Y62" i="4"/>
  <c r="X62" i="4"/>
  <c r="W62" i="4"/>
  <c r="V62" i="4"/>
  <c r="U62" i="4"/>
  <c r="T62" i="4"/>
  <c r="S62" i="4"/>
  <c r="R62" i="4"/>
  <c r="Q62" i="4"/>
  <c r="P62" i="4"/>
  <c r="O62" i="4"/>
  <c r="N62" i="4"/>
  <c r="M62" i="4"/>
  <c r="L62" i="4"/>
  <c r="K62" i="4"/>
  <c r="J62" i="4"/>
  <c r="I62" i="4"/>
  <c r="H62" i="4"/>
  <c r="G62" i="4"/>
  <c r="F62" i="4"/>
  <c r="BG61" i="4"/>
  <c r="BF61" i="4"/>
  <c r="BE61" i="4"/>
  <c r="BD61" i="4"/>
  <c r="BC61" i="4"/>
  <c r="BB61" i="4"/>
  <c r="BA61" i="4"/>
  <c r="AZ61" i="4"/>
  <c r="AY61" i="4"/>
  <c r="AX61" i="4"/>
  <c r="AW61" i="4"/>
  <c r="AV61" i="4"/>
  <c r="AU61" i="4"/>
  <c r="AT61" i="4"/>
  <c r="AS61" i="4"/>
  <c r="AR61" i="4"/>
  <c r="AQ61" i="4"/>
  <c r="AP61" i="4"/>
  <c r="AO61" i="4"/>
  <c r="AN61" i="4"/>
  <c r="AM61" i="4"/>
  <c r="AL61" i="4"/>
  <c r="AE54" i="4"/>
  <c r="AD54" i="4"/>
  <c r="AC54" i="4"/>
  <c r="AB54" i="4"/>
  <c r="AC74" i="4"/>
  <c r="Z54" i="4"/>
  <c r="Y54" i="4"/>
  <c r="X54" i="4"/>
  <c r="W54" i="4"/>
  <c r="V54" i="4"/>
  <c r="U54" i="4"/>
  <c r="T54" i="4"/>
  <c r="S54" i="4"/>
  <c r="R54" i="4"/>
  <c r="Q54" i="4"/>
  <c r="P54" i="4"/>
  <c r="O54" i="4"/>
  <c r="N54" i="4"/>
  <c r="M54" i="4"/>
  <c r="L54" i="4"/>
  <c r="K54" i="4"/>
  <c r="J54" i="4"/>
  <c r="I54" i="4"/>
  <c r="H54" i="4"/>
  <c r="G54" i="4"/>
  <c r="F54" i="4"/>
  <c r="BG53" i="4"/>
  <c r="BF53" i="4"/>
  <c r="BE53" i="4"/>
  <c r="BD53" i="4"/>
  <c r="BC53" i="4"/>
  <c r="BB53" i="4"/>
  <c r="BA53" i="4"/>
  <c r="AZ53" i="4"/>
  <c r="AY53" i="4"/>
  <c r="AX53" i="4"/>
  <c r="AW53" i="4"/>
  <c r="AV53" i="4"/>
  <c r="AU53" i="4"/>
  <c r="AT53" i="4"/>
  <c r="AS53" i="4"/>
  <c r="AR53" i="4"/>
  <c r="AQ53" i="4"/>
  <c r="AP53" i="4"/>
  <c r="AO53" i="4"/>
  <c r="AN53" i="4"/>
  <c r="AM53" i="4"/>
  <c r="AL53" i="4"/>
  <c r="AK53" i="4"/>
  <c r="AJ53" i="4"/>
  <c r="AI53" i="4"/>
  <c r="AH53" i="4"/>
  <c r="AG53" i="4"/>
  <c r="AF53" i="4"/>
  <c r="AE53" i="4"/>
  <c r="AD53" i="4"/>
  <c r="AC53" i="4"/>
  <c r="AB53" i="4"/>
  <c r="AA53" i="4"/>
  <c r="Z53" i="4"/>
  <c r="Y53" i="4"/>
  <c r="X53" i="4"/>
  <c r="W53" i="4"/>
  <c r="V53" i="4"/>
  <c r="U53" i="4"/>
  <c r="T53" i="4"/>
  <c r="S53" i="4"/>
  <c r="R53" i="4"/>
  <c r="Q53" i="4"/>
  <c r="P53" i="4"/>
  <c r="O53" i="4"/>
  <c r="N53" i="4"/>
  <c r="M53" i="4"/>
  <c r="L53" i="4"/>
  <c r="K53" i="4"/>
  <c r="J53" i="4"/>
  <c r="I53" i="4"/>
  <c r="H53" i="4"/>
  <c r="G53" i="4"/>
  <c r="F53" i="4"/>
  <c r="D87" i="4"/>
  <c r="BG52" i="4"/>
  <c r="BF52" i="4"/>
  <c r="BE52" i="4"/>
  <c r="BD52" i="4"/>
  <c r="BC52" i="4"/>
  <c r="BB52" i="4"/>
  <c r="BA52" i="4"/>
  <c r="AZ52" i="4"/>
  <c r="AY52" i="4"/>
  <c r="AX52" i="4"/>
  <c r="AW52" i="4"/>
  <c r="AV52" i="4"/>
  <c r="AU52" i="4"/>
  <c r="AT52" i="4"/>
  <c r="AS52" i="4"/>
  <c r="AR52" i="4"/>
  <c r="AQ52" i="4"/>
  <c r="AP52" i="4"/>
  <c r="AO52" i="4"/>
  <c r="AN52" i="4"/>
  <c r="AM52" i="4"/>
  <c r="AL52" i="4"/>
  <c r="AK52" i="4"/>
  <c r="AJ52" i="4"/>
  <c r="AI52" i="4"/>
  <c r="AE52" i="4"/>
  <c r="AD52" i="4"/>
  <c r="AC52" i="4"/>
  <c r="AB52" i="4"/>
  <c r="AA52" i="4"/>
  <c r="Z52" i="4"/>
  <c r="Y52" i="4"/>
  <c r="X52" i="4"/>
  <c r="W52" i="4"/>
  <c r="V52" i="4"/>
  <c r="U52" i="4"/>
  <c r="T52" i="4"/>
  <c r="S52" i="4"/>
  <c r="R52" i="4"/>
  <c r="Q52" i="4"/>
  <c r="P52" i="4"/>
  <c r="O52" i="4"/>
  <c r="N52" i="4"/>
  <c r="M52" i="4"/>
  <c r="L52" i="4"/>
  <c r="K52" i="4"/>
  <c r="J52" i="4"/>
  <c r="I52" i="4"/>
  <c r="H52" i="4"/>
  <c r="G52" i="4"/>
  <c r="F52" i="4"/>
  <c r="BG51" i="4"/>
  <c r="BF51" i="4"/>
  <c r="BE51" i="4"/>
  <c r="BD51" i="4"/>
  <c r="BC51" i="4"/>
  <c r="BB51" i="4"/>
  <c r="BA51" i="4"/>
  <c r="AZ51" i="4"/>
  <c r="AY51" i="4"/>
  <c r="AX51" i="4"/>
  <c r="AW51" i="4"/>
  <c r="AV51" i="4"/>
  <c r="AU51" i="4"/>
  <c r="AT51" i="4"/>
  <c r="AS51" i="4"/>
  <c r="AR51" i="4"/>
  <c r="AQ51" i="4"/>
  <c r="AP51" i="4"/>
  <c r="AO51" i="4"/>
  <c r="AN51" i="4"/>
  <c r="AM51" i="4"/>
  <c r="AL51" i="4"/>
  <c r="AK51" i="4"/>
  <c r="AJ51" i="4"/>
  <c r="AD51" i="4"/>
  <c r="AC51" i="4"/>
  <c r="AB51" i="4"/>
  <c r="AA51" i="4"/>
  <c r="Z51" i="4"/>
  <c r="Y51" i="4"/>
  <c r="X51" i="4"/>
  <c r="W51" i="4"/>
  <c r="V51" i="4"/>
  <c r="U51" i="4"/>
  <c r="T51" i="4"/>
  <c r="S51" i="4"/>
  <c r="R51" i="4"/>
  <c r="Q51" i="4"/>
  <c r="P51" i="4"/>
  <c r="O51" i="4"/>
  <c r="N51" i="4"/>
  <c r="M51" i="4"/>
  <c r="L51" i="4"/>
  <c r="K51" i="4"/>
  <c r="J51" i="4"/>
  <c r="I51" i="4"/>
  <c r="H51" i="4"/>
  <c r="G51" i="4"/>
  <c r="F51" i="4"/>
  <c r="BG50" i="4"/>
  <c r="BF50" i="4"/>
  <c r="BE50" i="4"/>
  <c r="BD50" i="4"/>
  <c r="BC50" i="4"/>
  <c r="BB50" i="4"/>
  <c r="BA50" i="4"/>
  <c r="AZ50" i="4"/>
  <c r="AY50" i="4"/>
  <c r="AX50" i="4"/>
  <c r="AW50" i="4"/>
  <c r="AV50" i="4"/>
  <c r="AU50" i="4"/>
  <c r="AT50" i="4"/>
  <c r="AS50" i="4"/>
  <c r="AR50" i="4"/>
  <c r="AQ50" i="4"/>
  <c r="AP50" i="4"/>
  <c r="AO50" i="4"/>
  <c r="AN50" i="4"/>
  <c r="AM50" i="4"/>
  <c r="AL50" i="4"/>
  <c r="AK50" i="4"/>
  <c r="AJ50" i="4"/>
  <c r="AD50" i="4"/>
  <c r="AC50" i="4"/>
  <c r="AB50" i="4"/>
  <c r="AA50" i="4"/>
  <c r="Z50" i="4"/>
  <c r="Y50" i="4"/>
  <c r="X50" i="4"/>
  <c r="W50" i="4"/>
  <c r="V50" i="4"/>
  <c r="U50" i="4"/>
  <c r="T50" i="4"/>
  <c r="S50" i="4"/>
  <c r="R50" i="4"/>
  <c r="Q50" i="4"/>
  <c r="P50" i="4"/>
  <c r="O50" i="4"/>
  <c r="N50" i="4"/>
  <c r="M50" i="4"/>
  <c r="L50" i="4"/>
  <c r="K50" i="4"/>
  <c r="J50" i="4"/>
  <c r="I50" i="4"/>
  <c r="H50" i="4"/>
  <c r="G50" i="4"/>
  <c r="F50" i="4"/>
  <c r="BG49" i="4"/>
  <c r="BF49" i="4"/>
  <c r="BE49" i="4"/>
  <c r="BD49" i="4"/>
  <c r="BC49" i="4"/>
  <c r="BB49" i="4"/>
  <c r="BA49" i="4"/>
  <c r="AZ49" i="4"/>
  <c r="AY49" i="4"/>
  <c r="AX49" i="4"/>
  <c r="AW49" i="4"/>
  <c r="AV49" i="4"/>
  <c r="AU49" i="4"/>
  <c r="AT49" i="4"/>
  <c r="AS49" i="4"/>
  <c r="AR49" i="4"/>
  <c r="AQ49" i="4"/>
  <c r="AP49" i="4"/>
  <c r="AO49" i="4"/>
  <c r="AN49" i="4"/>
  <c r="AM49" i="4"/>
  <c r="AL49" i="4"/>
  <c r="AK49" i="4"/>
  <c r="AJ49" i="4"/>
  <c r="AI49" i="4"/>
  <c r="Z49" i="4"/>
  <c r="Y49" i="4"/>
  <c r="X49" i="4"/>
  <c r="W49" i="4"/>
  <c r="V49" i="4"/>
  <c r="U49" i="4"/>
  <c r="T49" i="4"/>
  <c r="S49" i="4"/>
  <c r="R49" i="4"/>
  <c r="Q49" i="4"/>
  <c r="P49" i="4"/>
  <c r="O49" i="4"/>
  <c r="N49" i="4"/>
  <c r="M49" i="4"/>
  <c r="L49" i="4"/>
  <c r="K49" i="4"/>
  <c r="J49" i="4"/>
  <c r="I49" i="4"/>
  <c r="H49" i="4"/>
  <c r="G49" i="4"/>
  <c r="F49" i="4"/>
  <c r="BG48" i="4"/>
  <c r="BF48" i="4"/>
  <c r="BE48" i="4"/>
  <c r="BD48" i="4"/>
  <c r="BC48" i="4"/>
  <c r="BB48" i="4"/>
  <c r="BA48" i="4"/>
  <c r="AZ48" i="4"/>
  <c r="AY48" i="4"/>
  <c r="AX48" i="4"/>
  <c r="AW48" i="4"/>
  <c r="AV48" i="4"/>
  <c r="AU48" i="4"/>
  <c r="AT48" i="4"/>
  <c r="AS48" i="4"/>
  <c r="AR48" i="4"/>
  <c r="AQ48" i="4"/>
  <c r="AP48" i="4"/>
  <c r="AO48" i="4"/>
  <c r="AN48" i="4"/>
  <c r="AM48" i="4"/>
  <c r="AL48" i="4"/>
  <c r="AK48" i="4"/>
  <c r="AJ48" i="4"/>
  <c r="AI48" i="4"/>
  <c r="AH48" i="4"/>
  <c r="AG48" i="4"/>
  <c r="AF48" i="4"/>
  <c r="AE48" i="4"/>
  <c r="X48" i="4"/>
  <c r="W48" i="4"/>
  <c r="V48" i="4"/>
  <c r="U48" i="4"/>
  <c r="T48" i="4"/>
  <c r="S48" i="4"/>
  <c r="R48" i="4"/>
  <c r="Q48" i="4"/>
  <c r="P48" i="4"/>
  <c r="O48" i="4"/>
  <c r="N48" i="4"/>
  <c r="M48" i="4"/>
  <c r="L48" i="4"/>
  <c r="K48" i="4"/>
  <c r="J48" i="4"/>
  <c r="I48" i="4"/>
  <c r="H48" i="4"/>
  <c r="G48" i="4"/>
  <c r="F48" i="4"/>
  <c r="BG47" i="4"/>
  <c r="BF47" i="4"/>
  <c r="BE47" i="4"/>
  <c r="BD47" i="4"/>
  <c r="BC47" i="4"/>
  <c r="BB47" i="4"/>
  <c r="BA47" i="4"/>
  <c r="AZ47" i="4"/>
  <c r="AY47" i="4"/>
  <c r="AX47" i="4"/>
  <c r="AW47" i="4"/>
  <c r="AV47" i="4"/>
  <c r="AU47" i="4"/>
  <c r="AT47" i="4"/>
  <c r="AS47" i="4"/>
  <c r="AR47" i="4"/>
  <c r="AQ47" i="4"/>
  <c r="AP47" i="4"/>
  <c r="AO47" i="4"/>
  <c r="AN47" i="4"/>
  <c r="AM47" i="4"/>
  <c r="AL47" i="4"/>
  <c r="AK47" i="4"/>
  <c r="AC47" i="4"/>
  <c r="AB47" i="4"/>
  <c r="AA47" i="4"/>
  <c r="Z47" i="4"/>
  <c r="Y47" i="4"/>
  <c r="X47" i="4"/>
  <c r="W47" i="4"/>
  <c r="V47" i="4"/>
  <c r="U47" i="4"/>
  <c r="T47" i="4"/>
  <c r="S47" i="4"/>
  <c r="R47" i="4"/>
  <c r="Q47" i="4"/>
  <c r="P47" i="4"/>
  <c r="O47" i="4"/>
  <c r="N47" i="4"/>
  <c r="M47" i="4"/>
  <c r="L47" i="4"/>
  <c r="K47" i="4"/>
  <c r="J47" i="4"/>
  <c r="I47" i="4"/>
  <c r="H47" i="4"/>
  <c r="G47" i="4"/>
  <c r="F47" i="4"/>
  <c r="BG45" i="4"/>
  <c r="BF45" i="4"/>
  <c r="BE45" i="4"/>
  <c r="BD45" i="4"/>
  <c r="BC45" i="4"/>
  <c r="BB45" i="4"/>
  <c r="BA45" i="4"/>
  <c r="AZ45" i="4"/>
  <c r="AY45" i="4"/>
  <c r="AX45" i="4"/>
  <c r="AW45" i="4"/>
  <c r="AV45" i="4"/>
  <c r="AU45" i="4"/>
  <c r="AT45" i="4"/>
  <c r="AS45" i="4"/>
  <c r="AR45" i="4"/>
  <c r="AQ45" i="4"/>
  <c r="AP45" i="4"/>
  <c r="AO45" i="4"/>
  <c r="AN45" i="4"/>
  <c r="AM45" i="4"/>
  <c r="AL45" i="4"/>
  <c r="AK45" i="4"/>
  <c r="AJ45" i="4"/>
  <c r="AI45" i="4"/>
  <c r="AH45" i="4"/>
  <c r="AG45" i="4"/>
  <c r="AF45" i="4"/>
  <c r="AE45" i="4"/>
  <c r="AD45" i="4"/>
  <c r="AC45" i="4"/>
  <c r="AB45" i="4"/>
  <c r="AA45" i="4"/>
  <c r="Z45" i="4"/>
  <c r="Y45" i="4"/>
  <c r="X45" i="4"/>
  <c r="W45" i="4"/>
  <c r="V45" i="4"/>
  <c r="U45" i="4"/>
  <c r="T45" i="4"/>
  <c r="S45" i="4"/>
  <c r="R45" i="4"/>
  <c r="Q45" i="4"/>
  <c r="P45" i="4"/>
  <c r="O45" i="4"/>
  <c r="N45" i="4"/>
  <c r="M45" i="4"/>
  <c r="L45" i="4"/>
  <c r="K45" i="4"/>
  <c r="J45" i="4"/>
  <c r="I45" i="4"/>
  <c r="H45" i="4"/>
  <c r="G45" i="4"/>
  <c r="F45" i="4"/>
  <c r="C87" i="4"/>
  <c r="BG44" i="4"/>
  <c r="BF44" i="4"/>
  <c r="BE44" i="4"/>
  <c r="BD44" i="4"/>
  <c r="BC44" i="4"/>
  <c r="BB44" i="4"/>
  <c r="BA44" i="4"/>
  <c r="AZ44" i="4"/>
  <c r="AY44" i="4"/>
  <c r="AX44" i="4"/>
  <c r="AW44" i="4"/>
  <c r="AV44" i="4"/>
  <c r="AU44" i="4"/>
  <c r="AT44" i="4"/>
  <c r="AS44" i="4"/>
  <c r="AR44" i="4"/>
  <c r="AQ44" i="4"/>
  <c r="AP44" i="4"/>
  <c r="AO44" i="4"/>
  <c r="AN44" i="4"/>
  <c r="AM44" i="4"/>
  <c r="AL44" i="4"/>
  <c r="AK44" i="4"/>
  <c r="AJ44" i="4"/>
  <c r="D86" i="4"/>
  <c r="R82" i="4"/>
  <c r="Q82" i="4"/>
  <c r="P82" i="4"/>
  <c r="O82" i="4"/>
  <c r="N82" i="4"/>
  <c r="M82" i="4"/>
  <c r="L82" i="4"/>
  <c r="K82" i="4"/>
  <c r="J82" i="4"/>
  <c r="I82" i="4"/>
  <c r="H82" i="4"/>
  <c r="G82" i="4"/>
  <c r="F82" i="4"/>
  <c r="BG76" i="4"/>
  <c r="BF76" i="4"/>
  <c r="BE76" i="4"/>
  <c r="BD76" i="4"/>
  <c r="BC76" i="4"/>
  <c r="BB76" i="4"/>
  <c r="BA76" i="4"/>
  <c r="AZ76" i="4"/>
  <c r="AY76" i="4"/>
  <c r="AX76" i="4"/>
  <c r="AW76" i="4"/>
  <c r="AV76" i="4"/>
  <c r="AU76" i="4"/>
  <c r="AT76" i="4"/>
  <c r="AS76" i="4"/>
  <c r="AR76" i="4"/>
  <c r="AQ76" i="4"/>
  <c r="AP76" i="4"/>
  <c r="AO76" i="4"/>
  <c r="AN76" i="4"/>
  <c r="AM76" i="4"/>
  <c r="R76" i="4"/>
  <c r="Q76" i="4"/>
  <c r="P76" i="4"/>
  <c r="O76" i="4"/>
  <c r="N76" i="4"/>
  <c r="M76" i="4"/>
  <c r="L76" i="4"/>
  <c r="K76" i="4"/>
  <c r="J76" i="4"/>
  <c r="I76" i="4"/>
  <c r="H76" i="4"/>
  <c r="G76" i="4"/>
  <c r="F76" i="4"/>
  <c r="BG74" i="4"/>
  <c r="BF74" i="4"/>
  <c r="BE74" i="4"/>
  <c r="BD74" i="4"/>
  <c r="BC74" i="4"/>
  <c r="BB74" i="4"/>
  <c r="BA74" i="4"/>
  <c r="AZ74" i="4"/>
  <c r="AY74" i="4"/>
  <c r="AX74" i="4"/>
  <c r="AW74" i="4"/>
  <c r="AV74" i="4"/>
  <c r="AU74" i="4"/>
  <c r="AT74" i="4"/>
  <c r="AS74" i="4"/>
  <c r="AR74" i="4"/>
  <c r="AQ74" i="4"/>
  <c r="AP74" i="4"/>
  <c r="AO74" i="4"/>
  <c r="AN74" i="4"/>
  <c r="AM74" i="4"/>
  <c r="AL74" i="4"/>
  <c r="AK74" i="4"/>
  <c r="AJ74" i="4"/>
  <c r="AI74" i="4"/>
  <c r="AH74" i="4"/>
  <c r="AG74" i="4"/>
  <c r="AF74" i="4"/>
  <c r="AE74" i="4"/>
  <c r="AD74" i="4"/>
  <c r="AB74" i="4"/>
  <c r="AA74" i="4"/>
  <c r="Z74" i="4"/>
  <c r="Y74" i="4"/>
  <c r="X74" i="4"/>
  <c r="W74" i="4"/>
  <c r="V74" i="4"/>
  <c r="U74" i="4"/>
  <c r="T74" i="4"/>
  <c r="S74" i="4"/>
  <c r="R74" i="4"/>
  <c r="Q74" i="4"/>
  <c r="P74" i="4"/>
  <c r="O74" i="4"/>
  <c r="N74" i="4"/>
  <c r="M74" i="4"/>
  <c r="L74" i="4"/>
  <c r="K74" i="4"/>
  <c r="J74" i="4"/>
  <c r="I74" i="4"/>
  <c r="H74" i="4"/>
  <c r="G74" i="4"/>
  <c r="F74" i="4"/>
  <c r="BG73" i="4"/>
  <c r="BF73" i="4"/>
  <c r="BE73" i="4"/>
  <c r="BD73" i="4"/>
  <c r="BC73" i="4"/>
  <c r="BB73" i="4"/>
  <c r="BA73" i="4"/>
  <c r="AZ73" i="4"/>
  <c r="AY73" i="4"/>
  <c r="AX73" i="4"/>
  <c r="AW73" i="4"/>
  <c r="AV73" i="4"/>
  <c r="AU73" i="4"/>
  <c r="AT73" i="4"/>
  <c r="AS73" i="4"/>
  <c r="AR73" i="4"/>
  <c r="AQ73" i="4"/>
  <c r="AP73" i="4"/>
  <c r="AO73" i="4"/>
  <c r="BG14" i="4"/>
  <c r="BF14" i="4"/>
  <c r="BE14" i="4"/>
  <c r="BD14" i="4"/>
  <c r="BC14" i="4"/>
  <c r="BB14" i="4"/>
  <c r="BA14" i="4"/>
  <c r="AZ14" i="4"/>
  <c r="AY14" i="4"/>
  <c r="AX14" i="4"/>
  <c r="AW14" i="4"/>
  <c r="AV14" i="4"/>
  <c r="AU14" i="4"/>
  <c r="AT14" i="4"/>
  <c r="AS14" i="4"/>
  <c r="AR14" i="4"/>
  <c r="AQ14" i="4"/>
  <c r="AP14" i="4"/>
  <c r="AO14" i="4"/>
  <c r="AN14" i="4"/>
  <c r="AM14" i="4"/>
  <c r="AL14" i="4"/>
  <c r="AK14" i="4"/>
  <c r="AJ14" i="4"/>
  <c r="AI14" i="4"/>
  <c r="AH14" i="4"/>
  <c r="AG14" i="4"/>
  <c r="AF14" i="4"/>
  <c r="AE14" i="4"/>
  <c r="AD14" i="4"/>
  <c r="AC14" i="4"/>
  <c r="AB14" i="4"/>
  <c r="AA14" i="4"/>
  <c r="Z14" i="4"/>
  <c r="Y14" i="4"/>
  <c r="X14" i="4"/>
  <c r="W14" i="4"/>
  <c r="V14" i="4"/>
  <c r="U14" i="4"/>
  <c r="T14" i="4"/>
  <c r="S14" i="4"/>
  <c r="R14" i="4"/>
  <c r="Q14" i="4"/>
  <c r="P14" i="4"/>
  <c r="O14" i="4"/>
  <c r="N14" i="4"/>
  <c r="M14" i="4"/>
  <c r="AA54" i="4"/>
  <c r="AN73" i="4"/>
  <c r="AM73" i="4"/>
  <c r="AL73" i="4"/>
  <c r="AK73" i="4"/>
  <c r="AJ73" i="4"/>
  <c r="AI73" i="4"/>
  <c r="AH73" i="4"/>
  <c r="AG73" i="4"/>
  <c r="AF73" i="4"/>
  <c r="AE73" i="4"/>
  <c r="AD73" i="4"/>
  <c r="AC73" i="4"/>
  <c r="AB73" i="4"/>
  <c r="AA73" i="4"/>
  <c r="Z73" i="4"/>
  <c r="Y73" i="4"/>
  <c r="X73" i="4"/>
  <c r="W73" i="4"/>
  <c r="V73" i="4"/>
  <c r="U73" i="4"/>
  <c r="T73" i="4"/>
  <c r="S73" i="4"/>
  <c r="R73" i="4"/>
  <c r="Q73" i="4"/>
  <c r="P73" i="4"/>
  <c r="O73" i="4"/>
  <c r="N73" i="4"/>
  <c r="M73" i="4"/>
  <c r="L73" i="4"/>
  <c r="K73" i="4"/>
  <c r="J73" i="4"/>
  <c r="I73" i="4"/>
  <c r="H73" i="4"/>
  <c r="G73" i="4"/>
  <c r="F73" i="4"/>
  <c r="BG71" i="4"/>
  <c r="BF71" i="4"/>
  <c r="BE71" i="4"/>
  <c r="BD71" i="4"/>
  <c r="BC71" i="4"/>
  <c r="BB71" i="4"/>
  <c r="BA71" i="4"/>
  <c r="AZ71" i="4"/>
  <c r="AY71" i="4"/>
  <c r="AX71" i="4"/>
  <c r="AW71" i="4"/>
  <c r="AV71" i="4"/>
  <c r="AU71" i="4"/>
  <c r="AT71" i="4"/>
  <c r="AS71" i="4"/>
  <c r="AR71" i="4"/>
  <c r="AQ71" i="4"/>
  <c r="AP71" i="4"/>
  <c r="AO71" i="4"/>
  <c r="AN71" i="4"/>
  <c r="AM71" i="4"/>
  <c r="AL71" i="4"/>
  <c r="AK71" i="4"/>
  <c r="AJ71" i="4"/>
  <c r="AI71" i="4"/>
  <c r="AH71" i="4"/>
  <c r="AG71" i="4"/>
  <c r="AF71" i="4"/>
  <c r="AE71" i="4"/>
  <c r="AD71" i="4"/>
  <c r="AC71" i="4"/>
  <c r="AB71" i="4"/>
  <c r="AA71" i="4"/>
  <c r="Z71" i="4"/>
  <c r="Y71" i="4"/>
  <c r="X71" i="4"/>
  <c r="W71" i="4"/>
  <c r="V71" i="4"/>
  <c r="U71" i="4"/>
  <c r="T71" i="4"/>
  <c r="S71" i="4"/>
  <c r="R71" i="4"/>
  <c r="Q71" i="4"/>
  <c r="P71" i="4"/>
  <c r="O71" i="4"/>
  <c r="N71" i="4"/>
  <c r="M71" i="4"/>
  <c r="L71" i="4"/>
  <c r="K71" i="4"/>
  <c r="J71" i="4"/>
  <c r="I71" i="4"/>
  <c r="H71" i="4"/>
  <c r="G71" i="4"/>
  <c r="F71" i="4"/>
  <c r="BG70" i="4"/>
  <c r="BF70" i="4"/>
  <c r="BE70" i="4"/>
  <c r="BD70" i="4"/>
  <c r="BC70" i="4"/>
  <c r="BB70" i="4"/>
  <c r="BA70" i="4"/>
  <c r="AZ70" i="4"/>
  <c r="AY70" i="4"/>
  <c r="AX70" i="4"/>
  <c r="AW70" i="4"/>
  <c r="AV70" i="4"/>
  <c r="D71" i="3"/>
  <c r="AX89" i="3"/>
  <c r="AW89" i="3"/>
  <c r="AT89" i="3"/>
  <c r="AV89" i="3"/>
  <c r="AU89" i="3"/>
  <c r="AS89" i="3"/>
  <c r="AR89" i="3"/>
  <c r="AQ89" i="3"/>
  <c r="AP89" i="3"/>
  <c r="AO89" i="3"/>
  <c r="AM89" i="3"/>
  <c r="AK89" i="3"/>
  <c r="AH89" i="3"/>
  <c r="AF89" i="3"/>
  <c r="AE89" i="3"/>
  <c r="AB89" i="3"/>
  <c r="Z89" i="3"/>
  <c r="X89" i="3"/>
  <c r="U89" i="3"/>
  <c r="T89" i="3"/>
  <c r="AN89" i="3"/>
  <c r="AL89" i="3"/>
  <c r="AI89" i="3"/>
  <c r="AG89" i="3"/>
  <c r="AD89" i="3"/>
  <c r="AC89" i="3"/>
  <c r="AA89" i="3"/>
  <c r="Y89" i="3"/>
  <c r="W89" i="3"/>
  <c r="V89" i="3"/>
  <c r="S89" i="3"/>
  <c r="R89" i="3"/>
  <c r="P89" i="3"/>
  <c r="N89" i="3"/>
  <c r="L89" i="3"/>
  <c r="J89" i="3"/>
  <c r="H89" i="3"/>
  <c r="F89" i="3"/>
  <c r="D89" i="3"/>
  <c r="AY68" i="3"/>
  <c r="AW68" i="3"/>
  <c r="AT68" i="3"/>
  <c r="AS68" i="3"/>
  <c r="Q89" i="3"/>
  <c r="O89" i="3"/>
  <c r="M89" i="3"/>
  <c r="K89" i="3"/>
  <c r="I89" i="3"/>
  <c r="G89" i="3"/>
  <c r="E89" i="3"/>
  <c r="AY89" i="3"/>
  <c r="AQ68" i="3"/>
  <c r="AO68" i="3"/>
  <c r="AN68" i="3"/>
  <c r="AM68" i="3"/>
  <c r="AL68" i="3"/>
  <c r="AK68" i="3"/>
  <c r="AJ68" i="3"/>
  <c r="AI68" i="3"/>
  <c r="AH68" i="3"/>
  <c r="AG68" i="3"/>
  <c r="AF68" i="3"/>
  <c r="AE68" i="3"/>
  <c r="AX68" i="3"/>
  <c r="AV68" i="3"/>
  <c r="AU68" i="3"/>
  <c r="AR68" i="3"/>
  <c r="M74" i="2"/>
  <c r="G40" i="2"/>
  <c r="G42" i="2" s="1"/>
  <c r="G43" i="2"/>
  <c r="C31" i="1"/>
  <c r="G107" i="5" l="1"/>
  <c r="AQ93" i="4"/>
  <c r="AK93" i="4"/>
  <c r="AI93" i="4"/>
  <c r="AE93" i="4"/>
  <c r="V93" i="4"/>
  <c r="Q93" i="4"/>
  <c r="F93" i="4"/>
  <c r="I93" i="4"/>
  <c r="AS93" i="4"/>
  <c r="AO93" i="4"/>
  <c r="AU93" i="4"/>
  <c r="AL93" i="4"/>
  <c r="H93" i="4"/>
  <c r="AY93" i="4"/>
  <c r="BA93" i="4"/>
  <c r="BC93" i="4"/>
  <c r="AH93" i="4"/>
  <c r="BE93" i="4"/>
  <c r="AD93" i="4"/>
  <c r="AA93" i="4"/>
  <c r="X93" i="4"/>
  <c r="BG93" i="4"/>
  <c r="AT93" i="4"/>
  <c r="AJ93" i="4"/>
  <c r="T93" i="4"/>
  <c r="R93" i="4"/>
  <c r="Y93" i="4"/>
  <c r="AC93" i="4"/>
  <c r="AN93" i="4"/>
  <c r="M93" i="4"/>
  <c r="K93" i="4"/>
  <c r="BF93" i="4"/>
  <c r="BD93" i="4"/>
  <c r="N93" i="4"/>
  <c r="U93" i="4"/>
  <c r="O93" i="4"/>
  <c r="BB93" i="4"/>
  <c r="AZ93" i="4"/>
  <c r="AX93" i="4"/>
  <c r="AV93" i="4"/>
  <c r="AW93" i="4"/>
  <c r="J93" i="4"/>
  <c r="AR93" i="4"/>
  <c r="AP93" i="4"/>
  <c r="AM93" i="4"/>
  <c r="AG93" i="4"/>
  <c r="AF93" i="4"/>
  <c r="AB93" i="4"/>
  <c r="Z93" i="4"/>
  <c r="W93" i="4"/>
  <c r="S93" i="4"/>
  <c r="P93" i="4"/>
  <c r="L93" i="4"/>
  <c r="G93" i="4"/>
  <c r="R92" i="4"/>
  <c r="O92" i="4"/>
  <c r="L92" i="4"/>
  <c r="H92" i="4"/>
  <c r="AT92" i="4"/>
  <c r="G92" i="4"/>
  <c r="K92" i="4"/>
  <c r="N92" i="4"/>
  <c r="Q92" i="4"/>
  <c r="T92" i="4"/>
  <c r="W92" i="4"/>
  <c r="Y92" i="4"/>
  <c r="AA92" i="4"/>
  <c r="AB92" i="4"/>
  <c r="AE92" i="4"/>
  <c r="AF92" i="4"/>
  <c r="AI92" i="4"/>
  <c r="AL92" i="4"/>
  <c r="AO92" i="4"/>
  <c r="AV92" i="4"/>
  <c r="AX92" i="4"/>
  <c r="BA92" i="4"/>
  <c r="BC92" i="4"/>
  <c r="BE92" i="4"/>
  <c r="AP92" i="4"/>
  <c r="F92" i="4"/>
  <c r="I92" i="4"/>
  <c r="J92" i="4"/>
  <c r="M92" i="4"/>
  <c r="P92" i="4"/>
  <c r="S92" i="4"/>
  <c r="U92" i="4"/>
  <c r="X92" i="4"/>
  <c r="AC92" i="4"/>
  <c r="AH92" i="4"/>
  <c r="AK92" i="4"/>
  <c r="AN92" i="4"/>
  <c r="AQ92" i="4"/>
  <c r="AS92" i="4"/>
  <c r="AZ92" i="4"/>
  <c r="BD92" i="4"/>
  <c r="BG92" i="4"/>
  <c r="AW92" i="4"/>
  <c r="AU92" i="4"/>
  <c r="AM92" i="4"/>
  <c r="AJ92" i="4"/>
  <c r="AG92" i="4"/>
  <c r="AD92" i="4"/>
  <c r="Z92" i="4"/>
  <c r="V92" i="4"/>
  <c r="BF92" i="4"/>
  <c r="BB92" i="4"/>
  <c r="AY92" i="4"/>
  <c r="AR92" i="4"/>
  <c r="AZ91" i="4"/>
  <c r="F91" i="4"/>
  <c r="AB91" i="4"/>
  <c r="BD91" i="4"/>
  <c r="BB91" i="4"/>
  <c r="BF91" i="4"/>
  <c r="S91" i="4"/>
  <c r="I91" i="4"/>
  <c r="AS91" i="4"/>
  <c r="AQ91" i="4"/>
  <c r="AO91" i="4"/>
  <c r="AM91" i="4"/>
  <c r="AK91" i="4"/>
  <c r="AH91" i="4"/>
  <c r="AF91" i="4"/>
  <c r="AD91" i="4"/>
  <c r="BG91" i="4"/>
  <c r="Z91" i="4"/>
  <c r="BE91" i="4"/>
  <c r="BC91" i="4"/>
  <c r="W91" i="4"/>
  <c r="BA91" i="4"/>
  <c r="AY91" i="4"/>
  <c r="AX91" i="4"/>
  <c r="AW91" i="4"/>
  <c r="AV91" i="4"/>
  <c r="AU91" i="4"/>
  <c r="AT91" i="4"/>
  <c r="AR91" i="4"/>
  <c r="AP91" i="4"/>
  <c r="AN91" i="4"/>
  <c r="AL91" i="4"/>
  <c r="AJ91" i="4"/>
  <c r="AI91" i="4"/>
  <c r="AG91" i="4"/>
  <c r="AE91" i="4"/>
  <c r="AC91" i="4"/>
  <c r="AA91" i="4"/>
  <c r="Y91" i="4"/>
  <c r="X91" i="4"/>
  <c r="U91" i="4"/>
  <c r="V91" i="4"/>
  <c r="Q91" i="4"/>
  <c r="O91" i="4"/>
  <c r="M91" i="4"/>
  <c r="K91" i="4"/>
  <c r="H91" i="4"/>
  <c r="G91" i="4"/>
  <c r="T91" i="4"/>
  <c r="R91" i="4"/>
  <c r="P91" i="4"/>
  <c r="N91" i="4"/>
  <c r="L91" i="4"/>
  <c r="J91" i="4"/>
  <c r="AQ89" i="4"/>
  <c r="AS89" i="4"/>
  <c r="AT89" i="4"/>
  <c r="AW89" i="4"/>
  <c r="AY89" i="4"/>
  <c r="BA89" i="4"/>
  <c r="BC89" i="4"/>
  <c r="BD89" i="4"/>
  <c r="BF89" i="4"/>
  <c r="BG89" i="4"/>
  <c r="AV89" i="4"/>
  <c r="BE89" i="4"/>
  <c r="BB89" i="4"/>
  <c r="AZ89" i="4"/>
  <c r="AX89" i="4"/>
  <c r="AU89" i="4"/>
  <c r="AR89" i="4"/>
  <c r="AP89" i="4"/>
  <c r="K89" i="4"/>
  <c r="G89" i="4"/>
  <c r="F89" i="4"/>
  <c r="I89" i="4"/>
  <c r="L89" i="4"/>
  <c r="AN89" i="4"/>
  <c r="H89" i="4"/>
  <c r="J89" i="4"/>
  <c r="N89" i="4"/>
  <c r="O89" i="4"/>
  <c r="Q89" i="4"/>
  <c r="S89" i="4"/>
  <c r="V89" i="4"/>
  <c r="X89" i="4"/>
  <c r="Z89" i="4"/>
  <c r="AB89" i="4"/>
  <c r="T89" i="4"/>
  <c r="W89" i="4"/>
  <c r="Y89" i="4"/>
  <c r="AA89" i="4"/>
  <c r="AM89" i="4"/>
  <c r="AC89" i="4"/>
  <c r="AE89" i="4"/>
  <c r="AG89" i="4"/>
  <c r="AI89" i="4"/>
  <c r="AK89" i="4"/>
  <c r="U89" i="4"/>
  <c r="R89" i="4"/>
  <c r="P89" i="4"/>
  <c r="M89" i="4"/>
  <c r="AD89" i="4"/>
  <c r="AF89" i="4"/>
  <c r="AH89" i="4"/>
  <c r="AJ89" i="4"/>
  <c r="AL89" i="4"/>
  <c r="AO89" i="4"/>
  <c r="L86" i="4"/>
  <c r="AN86" i="4"/>
  <c r="V86" i="4"/>
  <c r="U86" i="4"/>
  <c r="T86" i="4"/>
  <c r="S86" i="4"/>
  <c r="R86" i="4"/>
  <c r="Q86" i="4"/>
  <c r="P86" i="4"/>
  <c r="O86" i="4"/>
  <c r="N86" i="4"/>
  <c r="M86" i="4"/>
  <c r="K86" i="4"/>
  <c r="AV86" i="4"/>
  <c r="J86" i="4"/>
  <c r="I86" i="4"/>
  <c r="H86" i="4"/>
  <c r="G86" i="4"/>
  <c r="F86" i="4"/>
  <c r="AO86" i="4"/>
  <c r="AP86" i="4"/>
  <c r="AQ86" i="4"/>
  <c r="AR86" i="4"/>
  <c r="AS86" i="4"/>
  <c r="AT86" i="4"/>
  <c r="AU86" i="4"/>
  <c r="AG86" i="4"/>
  <c r="AW86" i="4"/>
  <c r="AX86" i="4"/>
  <c r="AY86" i="4"/>
  <c r="AZ86" i="4"/>
  <c r="BA86" i="4"/>
  <c r="BB86" i="4"/>
  <c r="BC86" i="4"/>
  <c r="BD86" i="4"/>
  <c r="BE86" i="4"/>
  <c r="BF86" i="4"/>
  <c r="BG86" i="4"/>
  <c r="AH86" i="4"/>
  <c r="AE86" i="4"/>
  <c r="AD86" i="4"/>
  <c r="AI86" i="4"/>
  <c r="AF86" i="4"/>
  <c r="AC86" i="4"/>
  <c r="AB86" i="4"/>
  <c r="AA86" i="4"/>
  <c r="Z86" i="4"/>
  <c r="Y86" i="4"/>
  <c r="X86" i="4"/>
  <c r="W86" i="4"/>
  <c r="AJ86" i="4"/>
  <c r="AK86" i="4"/>
  <c r="AL86" i="4"/>
  <c r="AM86" i="4"/>
  <c r="B32" i="1"/>
  <c r="B26" i="3"/>
  <c r="G26" i="6"/>
  <c r="H111" i="5"/>
  <c r="H107" i="5"/>
  <c r="AD57" i="4"/>
  <c r="AE57" i="4"/>
  <c r="AF57" i="4"/>
  <c r="AG57" i="4"/>
  <c r="AF54" i="4"/>
  <c r="AG54" i="4"/>
  <c r="AH54" i="4"/>
  <c r="H81" i="5"/>
  <c r="G90" i="5"/>
  <c r="B47" i="4"/>
  <c r="H82" i="5"/>
  <c r="B48" i="4"/>
  <c r="AC44" i="4"/>
  <c r="AD44" i="4"/>
  <c r="AE44" i="4"/>
  <c r="AF43" i="4"/>
  <c r="AG43" i="4"/>
  <c r="AH43" i="4"/>
  <c r="Z42" i="4"/>
  <c r="AA42" i="4"/>
  <c r="AB42" i="4"/>
  <c r="AC42" i="4"/>
  <c r="AD42" i="4"/>
  <c r="AE42" i="4"/>
  <c r="AB41" i="4"/>
  <c r="AC41" i="4"/>
  <c r="AD41" i="4"/>
  <c r="AE41" i="4"/>
  <c r="AF41" i="4"/>
  <c r="AG41" i="4"/>
  <c r="H79" i="5"/>
  <c r="AB40" i="4"/>
  <c r="AC40" i="4"/>
  <c r="AD40" i="4"/>
  <c r="AE40" i="4"/>
  <c r="AF40" i="4"/>
  <c r="AG40" i="4"/>
  <c r="AC38" i="4"/>
  <c r="AD38" i="4"/>
  <c r="X36" i="4"/>
  <c r="Y36" i="4"/>
  <c r="Z36" i="4"/>
  <c r="AA36" i="4"/>
  <c r="AB36" i="4"/>
  <c r="AC36" i="4"/>
  <c r="S35" i="4"/>
  <c r="T35" i="4"/>
  <c r="W34" i="4"/>
  <c r="X34" i="4"/>
  <c r="V33" i="4"/>
  <c r="W33" i="4"/>
  <c r="X33" i="4"/>
  <c r="T32" i="4"/>
  <c r="U32" i="4"/>
  <c r="V32" i="4"/>
  <c r="T31" i="4"/>
  <c r="U31" i="4"/>
  <c r="V31" i="4"/>
  <c r="H71" i="5"/>
  <c r="G113" i="5"/>
  <c r="T30" i="4"/>
  <c r="U30" i="4"/>
  <c r="V30" i="4"/>
  <c r="AH60" i="4"/>
  <c r="AI60" i="4"/>
  <c r="AJ60" i="4"/>
  <c r="AE58" i="4"/>
  <c r="AF58" i="4"/>
  <c r="AG58" i="4"/>
  <c r="AH58" i="4"/>
  <c r="H94" i="5"/>
  <c r="B59" i="4"/>
  <c r="H97" i="5"/>
  <c r="B62" i="4"/>
  <c r="H86" i="5"/>
  <c r="B52" i="4"/>
  <c r="H99" i="5"/>
  <c r="B64" i="4"/>
  <c r="H83" i="5"/>
  <c r="B49" i="4"/>
  <c r="H84" i="5"/>
  <c r="B50" i="4"/>
  <c r="B51" i="4"/>
  <c r="H85" i="5"/>
  <c r="B65" i="4"/>
  <c r="H100" i="5"/>
  <c r="H98" i="5"/>
  <c r="B63" i="4"/>
  <c r="H96" i="5"/>
  <c r="B61" i="4"/>
  <c r="H89" i="5"/>
  <c r="B55" i="4"/>
  <c r="H69" i="5"/>
  <c r="B37" i="4"/>
  <c r="F87" i="4"/>
  <c r="G87" i="4"/>
  <c r="H87" i="4"/>
  <c r="I87" i="4"/>
  <c r="J87" i="4"/>
  <c r="K87" i="4"/>
  <c r="L87" i="4"/>
  <c r="P87" i="4"/>
  <c r="U87" i="4"/>
  <c r="Y87" i="4"/>
  <c r="AD87" i="4"/>
  <c r="AH87" i="4"/>
  <c r="AK87" i="4"/>
  <c r="AN87" i="4"/>
  <c r="AS87" i="4"/>
  <c r="AW87" i="4"/>
  <c r="BB87" i="4"/>
  <c r="BF87" i="4"/>
  <c r="O87" i="4"/>
  <c r="S87" i="4"/>
  <c r="V87" i="4"/>
  <c r="Z87" i="4"/>
  <c r="AC87" i="4"/>
  <c r="AF87" i="4"/>
  <c r="AL87" i="4"/>
  <c r="AO87" i="4"/>
  <c r="AP87" i="4"/>
  <c r="AU87" i="4"/>
  <c r="AY87" i="4"/>
  <c r="BC87" i="4"/>
  <c r="BG87" i="4"/>
  <c r="M87" i="4"/>
  <c r="Q87" i="4"/>
  <c r="X87" i="4"/>
  <c r="AA87" i="4"/>
  <c r="AE87" i="4"/>
  <c r="AI87" i="4"/>
  <c r="AM87" i="4"/>
  <c r="AQ87" i="4"/>
  <c r="AT87" i="4"/>
  <c r="AX87" i="4"/>
  <c r="BA87" i="4"/>
  <c r="BD87" i="4"/>
  <c r="N87" i="4"/>
  <c r="R87" i="4"/>
  <c r="T87" i="4"/>
  <c r="W87" i="4"/>
  <c r="AB87" i="4"/>
  <c r="AG87" i="4"/>
  <c r="AJ87" i="4"/>
  <c r="AR87" i="4"/>
  <c r="AV87" i="4"/>
  <c r="AZ87" i="4"/>
  <c r="BE87" i="4"/>
  <c r="B71" i="3"/>
  <c r="B26" i="1"/>
  <c r="C26" i="1" s="1"/>
  <c r="G47" i="2"/>
  <c r="G64" i="2"/>
  <c r="M64" i="2" s="1"/>
  <c r="G65" i="2"/>
  <c r="M65" i="2" s="1"/>
  <c r="G66" i="2"/>
  <c r="M66" i="2" s="1"/>
  <c r="G67" i="2"/>
  <c r="M67" i="2" s="1"/>
  <c r="M83" i="2"/>
  <c r="B48" i="1" s="1"/>
  <c r="B32" i="3"/>
  <c r="B22" i="1"/>
  <c r="C22" i="1" s="1"/>
  <c r="R77" i="4"/>
  <c r="Q77" i="4"/>
  <c r="P77" i="4"/>
  <c r="O77" i="4"/>
  <c r="N77" i="4"/>
  <c r="M77" i="4"/>
  <c r="L77" i="4"/>
  <c r="K77" i="4"/>
  <c r="J77" i="4"/>
  <c r="I77" i="4"/>
  <c r="H77" i="4"/>
  <c r="G77" i="4"/>
  <c r="F77" i="4"/>
  <c r="BG77" i="4"/>
  <c r="BF77" i="4"/>
  <c r="BE77" i="4"/>
  <c r="BD77" i="4"/>
  <c r="BC77" i="4"/>
  <c r="BB77" i="4"/>
  <c r="BA77" i="4"/>
  <c r="AZ77" i="4"/>
  <c r="AY77" i="4"/>
  <c r="AX77" i="4"/>
  <c r="AW77" i="4"/>
  <c r="AV77" i="4"/>
  <c r="AU77" i="4"/>
  <c r="AT77" i="4"/>
  <c r="AS77" i="4"/>
  <c r="AR77" i="4"/>
  <c r="AQ77" i="4"/>
  <c r="AP77" i="4"/>
  <c r="AO77" i="4"/>
  <c r="AN77" i="4"/>
  <c r="AM77" i="4"/>
  <c r="G14" i="2"/>
  <c r="G28" i="2"/>
  <c r="H18" i="2" l="1"/>
  <c r="H19" i="2"/>
  <c r="H20" i="2"/>
  <c r="I20" i="2" s="1"/>
  <c r="M20" i="2" s="1"/>
  <c r="N20" i="2" s="1"/>
  <c r="H21" i="2"/>
  <c r="I21" i="2" s="1"/>
  <c r="M21" i="2" s="1"/>
  <c r="N21" i="2" s="1"/>
  <c r="H22" i="2"/>
  <c r="I22" i="2" s="1"/>
  <c r="M22" i="2" s="1"/>
  <c r="N22" i="2" s="1"/>
  <c r="H23" i="2"/>
  <c r="I23" i="2" s="1"/>
  <c r="M23" i="2" s="1"/>
  <c r="N23" i="2" s="1"/>
  <c r="H24" i="2"/>
  <c r="I24" i="2" s="1"/>
  <c r="M24" i="2" s="1"/>
  <c r="N24" i="2" s="1"/>
  <c r="H25" i="2"/>
  <c r="I25" i="2" s="1"/>
  <c r="M25" i="2" s="1"/>
  <c r="N25" i="2" s="1"/>
  <c r="H26" i="2"/>
  <c r="I26" i="2" s="1"/>
  <c r="M26" i="2" s="1"/>
  <c r="N26" i="2" s="1"/>
  <c r="C32" i="1"/>
  <c r="J72" i="3"/>
  <c r="H90" i="5"/>
  <c r="AD47" i="4"/>
  <c r="AE47" i="4"/>
  <c r="AF47" i="4"/>
  <c r="AG47" i="4"/>
  <c r="AH47" i="4"/>
  <c r="AI47" i="4"/>
  <c r="AJ47" i="4"/>
  <c r="Y48" i="4"/>
  <c r="Z48" i="4"/>
  <c r="AA48" i="4"/>
  <c r="AB48" i="4"/>
  <c r="AC48" i="4"/>
  <c r="AD48" i="4"/>
  <c r="H113" i="5"/>
  <c r="C115" i="5"/>
  <c r="G115" i="5" s="1"/>
  <c r="G116" i="5"/>
  <c r="AH59" i="4"/>
  <c r="AI59" i="4"/>
  <c r="AJ62" i="4"/>
  <c r="AK62" i="4"/>
  <c r="AF52" i="4"/>
  <c r="AH52" i="4"/>
  <c r="AG52" i="4"/>
  <c r="AJ64" i="4"/>
  <c r="AH64" i="4"/>
  <c r="AI64" i="4"/>
  <c r="AK64" i="4"/>
  <c r="AB49" i="4"/>
  <c r="AE49" i="4"/>
  <c r="AA49" i="4"/>
  <c r="AD49" i="4"/>
  <c r="AG49" i="4"/>
  <c r="AC49" i="4"/>
  <c r="AF49" i="4"/>
  <c r="AH49" i="4"/>
  <c r="AF50" i="4"/>
  <c r="AG50" i="4"/>
  <c r="AI50" i="4"/>
  <c r="AE50" i="4"/>
  <c r="AH50" i="4"/>
  <c r="AE51" i="4"/>
  <c r="AI51" i="4"/>
  <c r="AG51" i="4"/>
  <c r="AF51" i="4"/>
  <c r="AH51" i="4"/>
  <c r="AK65" i="4"/>
  <c r="AJ65" i="4"/>
  <c r="AL65" i="4"/>
  <c r="AI63" i="4"/>
  <c r="AK63" i="4"/>
  <c r="AJ63" i="4"/>
  <c r="AI61" i="4"/>
  <c r="AK61" i="4"/>
  <c r="AJ61" i="4"/>
  <c r="AA55" i="4"/>
  <c r="AB55" i="4"/>
  <c r="AC55" i="4"/>
  <c r="AD55" i="4"/>
  <c r="AE55" i="4"/>
  <c r="AF55" i="4"/>
  <c r="AG55" i="4"/>
  <c r="X37" i="4"/>
  <c r="Y37" i="4"/>
  <c r="Z37" i="4"/>
  <c r="AA37" i="4"/>
  <c r="AB37" i="4"/>
  <c r="AC37" i="4"/>
  <c r="M68" i="2"/>
  <c r="H27" i="2" l="1"/>
  <c r="I18" i="2"/>
  <c r="I19" i="2"/>
  <c r="M19" i="2" s="1"/>
  <c r="M29" i="2"/>
  <c r="M82" i="2" s="1"/>
  <c r="B47" i="1" s="1"/>
  <c r="B72" i="3"/>
  <c r="B76" i="4"/>
  <c r="H115" i="5"/>
  <c r="C118" i="5"/>
  <c r="G118" i="5" s="1"/>
  <c r="C119" i="5" s="1"/>
  <c r="G119" i="5" s="1"/>
  <c r="H116" i="5"/>
  <c r="B33" i="3"/>
  <c r="AE88" i="3" s="1"/>
  <c r="B88" i="3" s="1"/>
  <c r="B25" i="1"/>
  <c r="C25" i="1" s="1"/>
  <c r="I27" i="2" l="1"/>
  <c r="B8" i="1" s="1"/>
  <c r="N18" i="2"/>
  <c r="AE86" i="3"/>
  <c r="Y86" i="3"/>
  <c r="W86" i="3"/>
  <c r="V86" i="3"/>
  <c r="D86" i="3"/>
  <c r="T86" i="3"/>
  <c r="S86" i="3"/>
  <c r="R86" i="3"/>
  <c r="Q86" i="3"/>
  <c r="P86" i="3"/>
  <c r="M86" i="3"/>
  <c r="L86" i="3"/>
  <c r="AF86" i="3"/>
  <c r="Z86" i="3"/>
  <c r="H86" i="3"/>
  <c r="AM86" i="3"/>
  <c r="U86" i="3"/>
  <c r="AK86" i="3"/>
  <c r="AJ86" i="3"/>
  <c r="AI86" i="3"/>
  <c r="AH86" i="3"/>
  <c r="AG86" i="3"/>
  <c r="AY86" i="3"/>
  <c r="N19" i="2"/>
  <c r="AA86" i="3"/>
  <c r="I86" i="3"/>
  <c r="N86" i="3"/>
  <c r="AX86" i="3"/>
  <c r="AV86" i="3"/>
  <c r="AU86" i="3"/>
  <c r="AS86" i="3"/>
  <c r="AO86" i="3"/>
  <c r="AN86" i="3"/>
  <c r="AQ86" i="3"/>
  <c r="AC86" i="3"/>
  <c r="K86" i="3"/>
  <c r="F86" i="3"/>
  <c r="M27" i="2"/>
  <c r="AW86" i="3"/>
  <c r="AP86" i="3"/>
  <c r="AD86" i="3"/>
  <c r="X86" i="3"/>
  <c r="O86" i="3"/>
  <c r="AL86" i="3"/>
  <c r="AR86" i="3"/>
  <c r="AB86" i="3"/>
  <c r="J86" i="3"/>
  <c r="E86" i="3"/>
  <c r="G86" i="3"/>
  <c r="AT86" i="3"/>
  <c r="B77" i="4"/>
  <c r="S76" i="4"/>
  <c r="S77" i="4" s="1"/>
  <c r="T76" i="4"/>
  <c r="T77" i="4" s="1"/>
  <c r="U76" i="4"/>
  <c r="U77" i="4" s="1"/>
  <c r="V76" i="4"/>
  <c r="V77" i="4" s="1"/>
  <c r="W76" i="4"/>
  <c r="W77" i="4" s="1"/>
  <c r="X76" i="4"/>
  <c r="X77" i="4" s="1"/>
  <c r="Y76" i="4"/>
  <c r="Y77" i="4" s="1"/>
  <c r="Z76" i="4"/>
  <c r="Z77" i="4" s="1"/>
  <c r="AA76" i="4"/>
  <c r="AA77" i="4" s="1"/>
  <c r="AB76" i="4"/>
  <c r="AB77" i="4" s="1"/>
  <c r="AC76" i="4"/>
  <c r="AC77" i="4" s="1"/>
  <c r="AD76" i="4"/>
  <c r="AD77" i="4" s="1"/>
  <c r="AE76" i="4"/>
  <c r="AE77" i="4" s="1"/>
  <c r="AF76" i="4"/>
  <c r="AF77" i="4" s="1"/>
  <c r="AG76" i="4"/>
  <c r="AG77" i="4" s="1"/>
  <c r="AH76" i="4"/>
  <c r="AH77" i="4" s="1"/>
  <c r="AI76" i="4"/>
  <c r="AI77" i="4" s="1"/>
  <c r="AJ76" i="4"/>
  <c r="AJ77" i="4" s="1"/>
  <c r="AK76" i="4"/>
  <c r="AK77" i="4" s="1"/>
  <c r="AL76" i="4"/>
  <c r="AL77" i="4" s="1"/>
  <c r="H118" i="5"/>
  <c r="H119" i="5"/>
  <c r="G120" i="5"/>
  <c r="G121" i="5"/>
  <c r="G128" i="5"/>
  <c r="G129" i="5" s="1"/>
  <c r="N27" i="2" l="1"/>
  <c r="B20" i="1" s="1"/>
  <c r="G46" i="2"/>
  <c r="G48" i="2" s="1"/>
  <c r="G53" i="2"/>
  <c r="M53" i="2" s="1"/>
  <c r="G54" i="2"/>
  <c r="M54" i="2" s="1"/>
  <c r="N54" i="2" s="1"/>
  <c r="G55" i="2"/>
  <c r="M55" i="2" s="1"/>
  <c r="N55" i="2" s="1"/>
  <c r="G60" i="2"/>
  <c r="M60" i="2" s="1"/>
  <c r="N60" i="2" s="1"/>
  <c r="B30" i="3"/>
  <c r="B19" i="1"/>
  <c r="B86" i="3"/>
  <c r="I118" i="5"/>
  <c r="I119" i="5"/>
  <c r="H120" i="5"/>
  <c r="I120" i="5"/>
  <c r="G127" i="5"/>
  <c r="G126" i="5"/>
  <c r="G125" i="5"/>
  <c r="I121" i="5"/>
  <c r="H121" i="5"/>
  <c r="B27" i="3"/>
  <c r="B33" i="1"/>
  <c r="B78" i="4"/>
  <c r="C6" i="6"/>
  <c r="G124" i="5"/>
  <c r="I110" i="5"/>
  <c r="I109" i="5"/>
  <c r="I106" i="5"/>
  <c r="I105" i="5"/>
  <c r="I104" i="5"/>
  <c r="I103" i="5"/>
  <c r="I102" i="5"/>
  <c r="I92" i="5"/>
  <c r="I88" i="5"/>
  <c r="I87" i="5"/>
  <c r="I78" i="5"/>
  <c r="I77" i="5"/>
  <c r="I76" i="5"/>
  <c r="I75" i="5"/>
  <c r="I74" i="5"/>
  <c r="I73" i="5"/>
  <c r="I70" i="5"/>
  <c r="I68" i="5"/>
  <c r="I67" i="5"/>
  <c r="I66" i="5"/>
  <c r="I65" i="5"/>
  <c r="I64" i="5"/>
  <c r="I63" i="5"/>
  <c r="I62" i="5"/>
  <c r="I101" i="5"/>
  <c r="I95" i="5"/>
  <c r="I93" i="5"/>
  <c r="I111" i="5"/>
  <c r="I107" i="5"/>
  <c r="I81" i="5"/>
  <c r="I82" i="5"/>
  <c r="I97" i="5"/>
  <c r="I86" i="5"/>
  <c r="I99" i="5"/>
  <c r="I84" i="5"/>
  <c r="I85" i="5"/>
  <c r="I98" i="5"/>
  <c r="I69" i="5"/>
  <c r="I79" i="5"/>
  <c r="I71" i="5"/>
  <c r="I94" i="5"/>
  <c r="I83" i="5"/>
  <c r="I100" i="5"/>
  <c r="I96" i="5"/>
  <c r="I89" i="5"/>
  <c r="I90" i="5"/>
  <c r="I113" i="5"/>
  <c r="I115" i="5"/>
  <c r="I116" i="5"/>
  <c r="N73" i="2" l="1"/>
  <c r="N58" i="2"/>
  <c r="N57" i="2"/>
  <c r="N59" i="2"/>
  <c r="N56" i="2"/>
  <c r="N72" i="2"/>
  <c r="N71" i="2"/>
  <c r="N65" i="2"/>
  <c r="N66" i="2"/>
  <c r="N74" i="2"/>
  <c r="N67" i="2"/>
  <c r="N64" i="2"/>
  <c r="N68" i="2"/>
  <c r="M61" i="2"/>
  <c r="N53" i="2"/>
  <c r="B23" i="1"/>
  <c r="C23" i="1" s="1"/>
  <c r="C19" i="1"/>
  <c r="C33" i="1"/>
  <c r="B79" i="4"/>
  <c r="F78" i="4"/>
  <c r="F79" i="4" s="1"/>
  <c r="G78" i="4"/>
  <c r="G79" i="4" s="1"/>
  <c r="G81" i="4" s="1"/>
  <c r="H78" i="4"/>
  <c r="H79" i="4" s="1"/>
  <c r="H81" i="4" s="1"/>
  <c r="I78" i="4"/>
  <c r="I79" i="4" s="1"/>
  <c r="I81" i="4" s="1"/>
  <c r="J78" i="4"/>
  <c r="J79" i="4" s="1"/>
  <c r="J81" i="4" s="1"/>
  <c r="K78" i="4"/>
  <c r="K79" i="4" s="1"/>
  <c r="K81" i="4" s="1"/>
  <c r="L78" i="4"/>
  <c r="L79" i="4" s="1"/>
  <c r="M78" i="4"/>
  <c r="M79" i="4" s="1"/>
  <c r="N78" i="4"/>
  <c r="N79" i="4" s="1"/>
  <c r="O78" i="4"/>
  <c r="O79" i="4" s="1"/>
  <c r="P78" i="4"/>
  <c r="P79" i="4" s="1"/>
  <c r="Q78" i="4"/>
  <c r="Q79" i="4" s="1"/>
  <c r="R78" i="4"/>
  <c r="R79" i="4" s="1"/>
  <c r="S78" i="4"/>
  <c r="S79" i="4" s="1"/>
  <c r="T78" i="4"/>
  <c r="T79" i="4" s="1"/>
  <c r="U78" i="4"/>
  <c r="U79" i="4" s="1"/>
  <c r="V78" i="4"/>
  <c r="V79" i="4" s="1"/>
  <c r="W78" i="4"/>
  <c r="W79" i="4" s="1"/>
  <c r="X78" i="4"/>
  <c r="X79" i="4" s="1"/>
  <c r="Y78" i="4"/>
  <c r="Y79" i="4" s="1"/>
  <c r="Z78" i="4"/>
  <c r="Z79" i="4" s="1"/>
  <c r="AA78" i="4"/>
  <c r="AA79" i="4" s="1"/>
  <c r="AB78" i="4"/>
  <c r="AB79" i="4" s="1"/>
  <c r="AC78" i="4"/>
  <c r="AC79" i="4" s="1"/>
  <c r="AD78" i="4"/>
  <c r="AD79" i="4" s="1"/>
  <c r="AE78" i="4"/>
  <c r="AE79" i="4" s="1"/>
  <c r="AF78" i="4"/>
  <c r="AF79" i="4" s="1"/>
  <c r="AG78" i="4"/>
  <c r="AG79" i="4" s="1"/>
  <c r="AH78" i="4"/>
  <c r="AH79" i="4" s="1"/>
  <c r="AI78" i="4"/>
  <c r="AI79" i="4" s="1"/>
  <c r="AJ78" i="4"/>
  <c r="AJ79" i="4" s="1"/>
  <c r="AK78" i="4"/>
  <c r="AK79" i="4" s="1"/>
  <c r="AL78" i="4"/>
  <c r="AL79" i="4" s="1"/>
  <c r="AM78" i="4"/>
  <c r="AM79" i="4" s="1"/>
  <c r="AN78" i="4"/>
  <c r="AN79" i="4" s="1"/>
  <c r="AO78" i="4"/>
  <c r="AO79" i="4" s="1"/>
  <c r="AP78" i="4"/>
  <c r="AP79" i="4" s="1"/>
  <c r="AQ78" i="4"/>
  <c r="AQ79" i="4" s="1"/>
  <c r="AR78" i="4"/>
  <c r="AR79" i="4" s="1"/>
  <c r="AS78" i="4"/>
  <c r="AS79" i="4" s="1"/>
  <c r="AT78" i="4"/>
  <c r="AT79" i="4" s="1"/>
  <c r="AU78" i="4"/>
  <c r="AU79" i="4" s="1"/>
  <c r="AV78" i="4"/>
  <c r="AV79" i="4" s="1"/>
  <c r="AW78" i="4"/>
  <c r="AW79" i="4" s="1"/>
  <c r="AX78" i="4"/>
  <c r="AX79" i="4" s="1"/>
  <c r="AY78" i="4"/>
  <c r="AY79" i="4" s="1"/>
  <c r="AZ78" i="4"/>
  <c r="AZ79" i="4" s="1"/>
  <c r="BA78" i="4"/>
  <c r="BA79" i="4" s="1"/>
  <c r="BB78" i="4"/>
  <c r="BB79" i="4" s="1"/>
  <c r="BC78" i="4"/>
  <c r="BC79" i="4" s="1"/>
  <c r="BD78" i="4"/>
  <c r="BD79" i="4" s="1"/>
  <c r="BE78" i="4"/>
  <c r="BE79" i="4" s="1"/>
  <c r="BF78" i="4"/>
  <c r="BF79" i="4" s="1"/>
  <c r="BG78" i="4"/>
  <c r="BG79" i="4" s="1"/>
  <c r="H26" i="6"/>
  <c r="H21" i="6"/>
  <c r="H24" i="6"/>
  <c r="H32" i="6"/>
  <c r="H44" i="6"/>
  <c r="H37" i="6"/>
  <c r="H36" i="6"/>
  <c r="H20" i="6"/>
  <c r="H23" i="6"/>
  <c r="H29" i="6"/>
  <c r="H38" i="6"/>
  <c r="H30" i="6"/>
  <c r="H31" i="6"/>
  <c r="H33" i="6"/>
  <c r="H34" i="6"/>
  <c r="H35" i="6"/>
  <c r="H39" i="6"/>
  <c r="H40" i="6"/>
  <c r="H41" i="6"/>
  <c r="H42" i="6"/>
  <c r="H55" i="6"/>
  <c r="H57" i="6"/>
  <c r="H45" i="6"/>
  <c r="H58" i="6"/>
  <c r="C56" i="6"/>
  <c r="G56" i="6" s="1"/>
  <c r="C43" i="6"/>
  <c r="G43" i="6" s="1"/>
  <c r="B24" i="1" l="1"/>
  <c r="C24" i="1" s="1"/>
  <c r="B31" i="3"/>
  <c r="M76" i="2"/>
  <c r="N61" i="2"/>
  <c r="B83" i="4"/>
  <c r="F81" i="4"/>
  <c r="BG80" i="4"/>
  <c r="BG82" i="4" s="1"/>
  <c r="BF80" i="4"/>
  <c r="BF82" i="4" s="1"/>
  <c r="BE80" i="4"/>
  <c r="BE82" i="4" s="1"/>
  <c r="BD80" i="4"/>
  <c r="BD82" i="4" s="1"/>
  <c r="BC80" i="4"/>
  <c r="BC82" i="4" s="1"/>
  <c r="BB80" i="4"/>
  <c r="BB82" i="4" s="1"/>
  <c r="BA80" i="4"/>
  <c r="BA82" i="4" s="1"/>
  <c r="AZ80" i="4"/>
  <c r="AZ82" i="4" s="1"/>
  <c r="AY80" i="4"/>
  <c r="AY82" i="4" s="1"/>
  <c r="AX80" i="4"/>
  <c r="AX82" i="4" s="1"/>
  <c r="AW80" i="4"/>
  <c r="AW82" i="4" s="1"/>
  <c r="AV80" i="4"/>
  <c r="AV82" i="4" s="1"/>
  <c r="AU80" i="4"/>
  <c r="AU82" i="4" s="1"/>
  <c r="AT80" i="4"/>
  <c r="AT82" i="4" s="1"/>
  <c r="AS80" i="4"/>
  <c r="AS82" i="4" s="1"/>
  <c r="AR80" i="4"/>
  <c r="AR82" i="4" s="1"/>
  <c r="AQ80" i="4"/>
  <c r="AQ82" i="4" s="1"/>
  <c r="AP80" i="4"/>
  <c r="AP82" i="4" s="1"/>
  <c r="AO80" i="4"/>
  <c r="AO82" i="4" s="1"/>
  <c r="AN80" i="4"/>
  <c r="AN82" i="4" s="1"/>
  <c r="AM80" i="4"/>
  <c r="AM82" i="4" s="1"/>
  <c r="AL80" i="4"/>
  <c r="AL82" i="4" s="1"/>
  <c r="AK80" i="4"/>
  <c r="AK82" i="4" s="1"/>
  <c r="AJ80" i="4"/>
  <c r="AJ82" i="4" s="1"/>
  <c r="AI80" i="4"/>
  <c r="AI82" i="4" s="1"/>
  <c r="AH80" i="4"/>
  <c r="AH82" i="4" s="1"/>
  <c r="AG80" i="4"/>
  <c r="AG82" i="4" s="1"/>
  <c r="AF80" i="4"/>
  <c r="AF82" i="4" s="1"/>
  <c r="AE80" i="4"/>
  <c r="AE82" i="4" s="1"/>
  <c r="AD80" i="4"/>
  <c r="AD82" i="4" s="1"/>
  <c r="AC80" i="4"/>
  <c r="AC82" i="4" s="1"/>
  <c r="AB80" i="4"/>
  <c r="AB82" i="4" s="1"/>
  <c r="AA80" i="4"/>
  <c r="AA82" i="4" s="1"/>
  <c r="Z80" i="4"/>
  <c r="Z82" i="4" s="1"/>
  <c r="Y80" i="4"/>
  <c r="Y82" i="4" s="1"/>
  <c r="X80" i="4"/>
  <c r="X82" i="4" s="1"/>
  <c r="W80" i="4"/>
  <c r="W82" i="4" s="1"/>
  <c r="V80" i="4"/>
  <c r="V82" i="4" s="1"/>
  <c r="U80" i="4"/>
  <c r="U82" i="4" s="1"/>
  <c r="T80" i="4"/>
  <c r="T82" i="4" s="1"/>
  <c r="S80" i="4"/>
  <c r="S82" i="4" s="1"/>
  <c r="R80" i="4"/>
  <c r="Q80" i="4"/>
  <c r="P80" i="4"/>
  <c r="O80" i="4"/>
  <c r="N80" i="4"/>
  <c r="M80" i="4"/>
  <c r="L80" i="4"/>
  <c r="K80" i="4"/>
  <c r="J80" i="4"/>
  <c r="I80" i="4"/>
  <c r="H80" i="4"/>
  <c r="G80" i="4"/>
  <c r="F80" i="4"/>
  <c r="D73" i="3"/>
  <c r="L81" i="4"/>
  <c r="E73" i="3"/>
  <c r="M81" i="4"/>
  <c r="F73" i="3"/>
  <c r="N81" i="4"/>
  <c r="G73" i="3"/>
  <c r="O81" i="4"/>
  <c r="H73" i="3"/>
  <c r="P81" i="4"/>
  <c r="I73" i="3"/>
  <c r="Q81" i="4"/>
  <c r="J73" i="3"/>
  <c r="R81" i="4"/>
  <c r="K73" i="3"/>
  <c r="S81" i="4"/>
  <c r="T81" i="4"/>
  <c r="L73" i="3"/>
  <c r="U81" i="4"/>
  <c r="M73" i="3"/>
  <c r="V81" i="4"/>
  <c r="N73" i="3"/>
  <c r="O73" i="3"/>
  <c r="W81" i="4"/>
  <c r="X81" i="4"/>
  <c r="P73" i="3"/>
  <c r="Y81" i="4"/>
  <c r="Q73" i="3"/>
  <c r="Z81" i="4"/>
  <c r="R73" i="3"/>
  <c r="AA81" i="4"/>
  <c r="S73" i="3"/>
  <c r="AB81" i="4"/>
  <c r="T73" i="3"/>
  <c r="AC81" i="4"/>
  <c r="U73" i="3"/>
  <c r="AD81" i="4"/>
  <c r="V73" i="3"/>
  <c r="AE81" i="4"/>
  <c r="W73" i="3"/>
  <c r="AF81" i="4"/>
  <c r="X73" i="3"/>
  <c r="AG81" i="4"/>
  <c r="Y73" i="3"/>
  <c r="AH81" i="4"/>
  <c r="Z73" i="3"/>
  <c r="AI81" i="4"/>
  <c r="AA73" i="3"/>
  <c r="AJ81" i="4"/>
  <c r="AB73" i="3"/>
  <c r="AK81" i="4"/>
  <c r="AC73" i="3"/>
  <c r="AL81" i="4"/>
  <c r="AD73" i="3"/>
  <c r="AE73" i="3"/>
  <c r="AE78" i="3" s="1"/>
  <c r="AM81" i="4"/>
  <c r="AF73" i="3"/>
  <c r="AF78" i="3" s="1"/>
  <c r="AN81" i="4"/>
  <c r="AG73" i="3"/>
  <c r="AG78" i="3" s="1"/>
  <c r="AO81" i="4"/>
  <c r="AH73" i="3"/>
  <c r="AH78" i="3" s="1"/>
  <c r="AP81" i="4"/>
  <c r="AI73" i="3"/>
  <c r="AI78" i="3" s="1"/>
  <c r="AQ81" i="4"/>
  <c r="AJ73" i="3"/>
  <c r="AJ78" i="3" s="1"/>
  <c r="AR81" i="4"/>
  <c r="AK73" i="3"/>
  <c r="AK78" i="3" s="1"/>
  <c r="AS81" i="4"/>
  <c r="AL73" i="3"/>
  <c r="AL78" i="3" s="1"/>
  <c r="AT81" i="4"/>
  <c r="AM73" i="3"/>
  <c r="AM78" i="3" s="1"/>
  <c r="AU81" i="4"/>
  <c r="AN73" i="3"/>
  <c r="AN78" i="3" s="1"/>
  <c r="AV81" i="4"/>
  <c r="AO73" i="3"/>
  <c r="AO78" i="3" s="1"/>
  <c r="AW81" i="4"/>
  <c r="AP73" i="3"/>
  <c r="AP78" i="3" s="1"/>
  <c r="AX81" i="4"/>
  <c r="AQ73" i="3"/>
  <c r="AQ78" i="3" s="1"/>
  <c r="AY81" i="4"/>
  <c r="AR73" i="3"/>
  <c r="AR78" i="3" s="1"/>
  <c r="AZ81" i="4"/>
  <c r="AS73" i="3"/>
  <c r="AS78" i="3" s="1"/>
  <c r="BA81" i="4"/>
  <c r="AT73" i="3"/>
  <c r="AT78" i="3" s="1"/>
  <c r="BB81" i="4"/>
  <c r="AU73" i="3"/>
  <c r="AU78" i="3" s="1"/>
  <c r="BC81" i="4"/>
  <c r="AV73" i="3"/>
  <c r="AV78" i="3" s="1"/>
  <c r="BD81" i="4"/>
  <c r="AW73" i="3"/>
  <c r="AW78" i="3" s="1"/>
  <c r="BE81" i="4"/>
  <c r="AX73" i="3"/>
  <c r="AX78" i="3" s="1"/>
  <c r="BF81" i="4"/>
  <c r="AY73" i="3"/>
  <c r="AY78" i="3" s="1"/>
  <c r="BG81" i="4"/>
  <c r="H56" i="6"/>
  <c r="G59" i="6"/>
  <c r="G46" i="6"/>
  <c r="H43" i="6"/>
  <c r="AV87" i="3" l="1"/>
  <c r="AV90" i="3" s="1"/>
  <c r="AV112" i="3" s="1"/>
  <c r="AQ87" i="3"/>
  <c r="AQ90" i="3" s="1"/>
  <c r="AQ112" i="3" s="1"/>
  <c r="AX87" i="3"/>
  <c r="AX90" i="3" s="1"/>
  <c r="AX112" i="3" s="1"/>
  <c r="AT87" i="3"/>
  <c r="AT90" i="3" s="1"/>
  <c r="AT112" i="3" s="1"/>
  <c r="AP87" i="3"/>
  <c r="AP90" i="3" s="1"/>
  <c r="AP112" i="3" s="1"/>
  <c r="AN87" i="3"/>
  <c r="AN90" i="3" s="1"/>
  <c r="AN112" i="3" s="1"/>
  <c r="AM87" i="3"/>
  <c r="AM90" i="3" s="1"/>
  <c r="AM112" i="3" s="1"/>
  <c r="AK87" i="3"/>
  <c r="AK90" i="3" s="1"/>
  <c r="AK112" i="3" s="1"/>
  <c r="AI87" i="3"/>
  <c r="AI90" i="3" s="1"/>
  <c r="AI112" i="3" s="1"/>
  <c r="AG87" i="3"/>
  <c r="AG90" i="3" s="1"/>
  <c r="AG112" i="3" s="1"/>
  <c r="AE87" i="3"/>
  <c r="AE90" i="3" s="1"/>
  <c r="AE112" i="3" s="1"/>
  <c r="AD87" i="3"/>
  <c r="AD90" i="3" s="1"/>
  <c r="AA87" i="3"/>
  <c r="AA90" i="3" s="1"/>
  <c r="Z87" i="3"/>
  <c r="Z90" i="3" s="1"/>
  <c r="X87" i="3"/>
  <c r="X90" i="3" s="1"/>
  <c r="V87" i="3"/>
  <c r="V90" i="3" s="1"/>
  <c r="U87" i="3"/>
  <c r="U90" i="3" s="1"/>
  <c r="T87" i="3"/>
  <c r="T90" i="3" s="1"/>
  <c r="S87" i="3"/>
  <c r="S90" i="3" s="1"/>
  <c r="R87" i="3"/>
  <c r="R90" i="3" s="1"/>
  <c r="Q87" i="3"/>
  <c r="Q90" i="3" s="1"/>
  <c r="P87" i="3"/>
  <c r="P90" i="3" s="1"/>
  <c r="O87" i="3"/>
  <c r="O90" i="3" s="1"/>
  <c r="N87" i="3"/>
  <c r="N90" i="3" s="1"/>
  <c r="M87" i="3"/>
  <c r="M90" i="3" s="1"/>
  <c r="L87" i="3"/>
  <c r="L90" i="3" s="1"/>
  <c r="K87" i="3"/>
  <c r="K90" i="3" s="1"/>
  <c r="AY87" i="3"/>
  <c r="AY90" i="3" s="1"/>
  <c r="AY112" i="3" s="1"/>
  <c r="AW87" i="3"/>
  <c r="AW90" i="3" s="1"/>
  <c r="AW112" i="3" s="1"/>
  <c r="AU87" i="3"/>
  <c r="AU90" i="3" s="1"/>
  <c r="AU112" i="3" s="1"/>
  <c r="AS87" i="3"/>
  <c r="AS90" i="3" s="1"/>
  <c r="AS112" i="3" s="1"/>
  <c r="AR87" i="3"/>
  <c r="AR90" i="3" s="1"/>
  <c r="AR112" i="3" s="1"/>
  <c r="AO87" i="3"/>
  <c r="AO90" i="3" s="1"/>
  <c r="AO112" i="3" s="1"/>
  <c r="AL87" i="3"/>
  <c r="AL90" i="3" s="1"/>
  <c r="AL112" i="3" s="1"/>
  <c r="AJ87" i="3"/>
  <c r="AH87" i="3"/>
  <c r="AH90" i="3" s="1"/>
  <c r="AH112" i="3" s="1"/>
  <c r="AF87" i="3"/>
  <c r="AF90" i="3" s="1"/>
  <c r="AF112" i="3" s="1"/>
  <c r="AC87" i="3"/>
  <c r="AC90" i="3" s="1"/>
  <c r="AB87" i="3"/>
  <c r="AB90" i="3" s="1"/>
  <c r="Y87" i="3"/>
  <c r="Y90" i="3" s="1"/>
  <c r="W87" i="3"/>
  <c r="W90" i="3" s="1"/>
  <c r="J87" i="3"/>
  <c r="J90" i="3" s="1"/>
  <c r="I87" i="3"/>
  <c r="I90" i="3" s="1"/>
  <c r="H87" i="3"/>
  <c r="H90" i="3" s="1"/>
  <c r="G87" i="3"/>
  <c r="G90" i="3" s="1"/>
  <c r="F87" i="3"/>
  <c r="F90" i="3" s="1"/>
  <c r="E87" i="3"/>
  <c r="E90" i="3" s="1"/>
  <c r="D87" i="3"/>
  <c r="N76" i="2"/>
  <c r="M78" i="2"/>
  <c r="B73" i="3"/>
  <c r="B34" i="3"/>
  <c r="AJ89" i="3" s="1"/>
  <c r="H59" i="6"/>
  <c r="B39" i="1"/>
  <c r="C48" i="6"/>
  <c r="G48" i="6" s="1"/>
  <c r="H46" i="6"/>
  <c r="B87" i="3" l="1"/>
  <c r="D90" i="3"/>
  <c r="N78" i="2"/>
  <c r="B27" i="1"/>
  <c r="C27" i="1" s="1"/>
  <c r="AJ90" i="3"/>
  <c r="B89" i="3"/>
  <c r="C39" i="1"/>
  <c r="H48" i="6"/>
  <c r="G49" i="6"/>
  <c r="B90" i="3" l="1"/>
  <c r="B51" i="3" s="1"/>
  <c r="AJ112" i="3"/>
  <c r="B34" i="1"/>
  <c r="B28" i="3"/>
  <c r="H49" i="6"/>
  <c r="C34" i="1" l="1"/>
  <c r="B37" i="3"/>
  <c r="B40" i="3"/>
  <c r="E74" i="3"/>
  <c r="G74" i="3"/>
  <c r="I74" i="3"/>
  <c r="K74" i="3"/>
  <c r="M74" i="3"/>
  <c r="O74" i="3"/>
  <c r="P74" i="3"/>
  <c r="S74" i="3"/>
  <c r="U74" i="3"/>
  <c r="W74" i="3"/>
  <c r="Y74" i="3"/>
  <c r="AA74" i="3"/>
  <c r="AC74" i="3"/>
  <c r="D74" i="3"/>
  <c r="F74" i="3"/>
  <c r="H74" i="3"/>
  <c r="J74" i="3"/>
  <c r="L74" i="3"/>
  <c r="N74" i="3"/>
  <c r="Q74" i="3"/>
  <c r="R74" i="3"/>
  <c r="T74" i="3"/>
  <c r="V74" i="3"/>
  <c r="X74" i="3"/>
  <c r="Z74" i="3"/>
  <c r="AB74" i="3"/>
  <c r="AD74" i="3"/>
  <c r="B38" i="3" l="1"/>
  <c r="E112" i="3"/>
  <c r="E78" i="3"/>
  <c r="G112" i="3"/>
  <c r="G78" i="3"/>
  <c r="I78" i="3"/>
  <c r="I112" i="3"/>
  <c r="K112" i="3"/>
  <c r="M112" i="3"/>
  <c r="M78" i="3"/>
  <c r="O112" i="3"/>
  <c r="O78" i="3"/>
  <c r="P112" i="3"/>
  <c r="P78" i="3"/>
  <c r="S112" i="3"/>
  <c r="S78" i="3"/>
  <c r="U112" i="3"/>
  <c r="U78" i="3"/>
  <c r="W112" i="3"/>
  <c r="W78" i="3"/>
  <c r="Y112" i="3"/>
  <c r="Y78" i="3"/>
  <c r="AA112" i="3"/>
  <c r="AA78" i="3"/>
  <c r="AC112" i="3"/>
  <c r="AC78" i="3"/>
  <c r="D112" i="3"/>
  <c r="B74" i="3"/>
  <c r="F112" i="3"/>
  <c r="F78" i="3"/>
  <c r="H78" i="3"/>
  <c r="H112" i="3"/>
  <c r="J78" i="3"/>
  <c r="J112" i="3"/>
  <c r="L112" i="3"/>
  <c r="L78" i="3"/>
  <c r="N78" i="3"/>
  <c r="N112" i="3"/>
  <c r="Q112" i="3"/>
  <c r="Q78" i="3"/>
  <c r="R112" i="3"/>
  <c r="R78" i="3"/>
  <c r="T112" i="3"/>
  <c r="T78" i="3"/>
  <c r="V78" i="3"/>
  <c r="V112" i="3"/>
  <c r="X112" i="3"/>
  <c r="X78" i="3"/>
  <c r="Z112" i="3"/>
  <c r="Z78" i="3"/>
  <c r="AB78" i="3"/>
  <c r="AB112" i="3"/>
  <c r="AD112" i="3"/>
  <c r="AD78" i="3"/>
  <c r="B39" i="3" l="1"/>
  <c r="C15" i="6"/>
  <c r="C51" i="6" s="1"/>
  <c r="G51" i="6" s="1"/>
  <c r="B53" i="1"/>
  <c r="B112" i="3"/>
  <c r="B57" i="3"/>
  <c r="B61" i="1" s="1"/>
  <c r="K76" i="3" l="1"/>
  <c r="B76" i="3" s="1"/>
  <c r="B36" i="1"/>
  <c r="G52" i="6"/>
  <c r="B29" i="3"/>
  <c r="H51" i="6"/>
  <c r="B35" i="1"/>
  <c r="C36" i="1" l="1"/>
  <c r="G65" i="6"/>
  <c r="G64" i="6"/>
  <c r="G61" i="6"/>
  <c r="H61" i="6" s="1"/>
  <c r="H52" i="6"/>
  <c r="B41" i="3"/>
  <c r="K75" i="3"/>
  <c r="C35" i="1"/>
  <c r="B42" i="3" l="1"/>
  <c r="B43" i="3" s="1"/>
  <c r="K78" i="3"/>
  <c r="B75" i="3"/>
  <c r="D77" i="3" l="1"/>
  <c r="B38" i="1"/>
  <c r="D78" i="3" l="1"/>
  <c r="B77" i="3"/>
  <c r="C38" i="1"/>
  <c r="D81" i="3" l="1"/>
  <c r="D83" i="3" s="1"/>
  <c r="B78" i="3"/>
  <c r="D102" i="3" l="1"/>
  <c r="E81" i="3"/>
  <c r="D93" i="3"/>
  <c r="D94" i="3" l="1"/>
  <c r="D95" i="3" s="1"/>
  <c r="E82" i="3" s="1"/>
  <c r="F81" i="3"/>
  <c r="D98" i="3" l="1"/>
  <c r="E83" i="3"/>
  <c r="G81" i="3"/>
  <c r="D103" i="3" l="1"/>
  <c r="D99" i="3"/>
  <c r="E93" i="3"/>
  <c r="H81" i="3"/>
  <c r="I81" i="3" s="1"/>
  <c r="D104" i="3" l="1"/>
  <c r="E102" i="3" s="1"/>
  <c r="D105" i="3"/>
  <c r="E94" i="3"/>
  <c r="E95" i="3" s="1"/>
  <c r="F82" i="3" s="1"/>
  <c r="J81" i="3"/>
  <c r="D106" i="3" l="1"/>
  <c r="F83" i="3"/>
  <c r="E98" i="3"/>
  <c r="K81" i="3"/>
  <c r="D107" i="3" l="1"/>
  <c r="F93" i="3"/>
  <c r="E99" i="3"/>
  <c r="E103" i="3"/>
  <c r="L81" i="3"/>
  <c r="D109" i="3" l="1"/>
  <c r="D108" i="3"/>
  <c r="F94" i="3"/>
  <c r="F95" i="3"/>
  <c r="G82" i="3" s="1"/>
  <c r="E104" i="3"/>
  <c r="F102" i="3" s="1"/>
  <c r="E105" i="3"/>
  <c r="M81" i="3"/>
  <c r="N81" i="3" l="1"/>
  <c r="F98" i="3"/>
  <c r="G83" i="3"/>
  <c r="E106" i="3"/>
  <c r="O81" i="3" l="1"/>
  <c r="P81" i="3"/>
  <c r="F103" i="3"/>
  <c r="F99" i="3"/>
  <c r="G93" i="3"/>
  <c r="E107" i="3"/>
  <c r="Q81" i="3"/>
  <c r="F104" i="3" l="1"/>
  <c r="G102" i="3" s="1"/>
  <c r="F105" i="3"/>
  <c r="G94" i="3"/>
  <c r="G95" i="3" s="1"/>
  <c r="H82" i="3" s="1"/>
  <c r="E109" i="3"/>
  <c r="E108" i="3"/>
  <c r="R81" i="3"/>
  <c r="F106" i="3" l="1"/>
  <c r="G98" i="3"/>
  <c r="H83" i="3"/>
  <c r="S81" i="3"/>
  <c r="F107" i="3" l="1"/>
  <c r="G103" i="3"/>
  <c r="G99" i="3"/>
  <c r="H93" i="3"/>
  <c r="T81" i="3"/>
  <c r="F109" i="3" l="1"/>
  <c r="F108" i="3"/>
  <c r="G104" i="3"/>
  <c r="H102" i="3" s="1"/>
  <c r="G105" i="3"/>
  <c r="H94" i="3"/>
  <c r="H95" i="3" s="1"/>
  <c r="I82" i="3" s="1"/>
  <c r="U81" i="3"/>
  <c r="G106" i="3" l="1"/>
  <c r="H98" i="3"/>
  <c r="I83" i="3"/>
  <c r="V81" i="3"/>
  <c r="W81" i="3"/>
  <c r="G107" i="3" l="1"/>
  <c r="H103" i="3"/>
  <c r="H99" i="3"/>
  <c r="I93" i="3"/>
  <c r="X81" i="3"/>
  <c r="G109" i="3" l="1"/>
  <c r="G108" i="3"/>
  <c r="H104" i="3"/>
  <c r="I102" i="3" s="1"/>
  <c r="H105" i="3"/>
  <c r="I94" i="3"/>
  <c r="I95" i="3" s="1"/>
  <c r="J82" i="3" s="1"/>
  <c r="Y81" i="3"/>
  <c r="Z81" i="3"/>
  <c r="H106" i="3" l="1"/>
  <c r="I98" i="3"/>
  <c r="J83" i="3"/>
  <c r="AA81" i="3"/>
  <c r="AB81" i="3" s="1"/>
  <c r="H107" i="3" l="1"/>
  <c r="I99" i="3"/>
  <c r="I103" i="3"/>
  <c r="J93" i="3"/>
  <c r="AC81" i="3"/>
  <c r="AD81" i="3" s="1"/>
  <c r="H109" i="3" l="1"/>
  <c r="H108" i="3"/>
  <c r="I104" i="3"/>
  <c r="J102" i="3" s="1"/>
  <c r="I105" i="3"/>
  <c r="J94" i="3"/>
  <c r="J95" i="3" s="1"/>
  <c r="K82" i="3" s="1"/>
  <c r="AE81" i="3"/>
  <c r="I106" i="3" l="1"/>
  <c r="J98" i="3"/>
  <c r="K83" i="3"/>
  <c r="AF81" i="3"/>
  <c r="AG81" i="3"/>
  <c r="I107" i="3" l="1"/>
  <c r="J103" i="3"/>
  <c r="J99" i="3"/>
  <c r="K93" i="3"/>
  <c r="AH81" i="3"/>
  <c r="I109" i="3" l="1"/>
  <c r="I108" i="3"/>
  <c r="J104" i="3"/>
  <c r="K102" i="3" s="1"/>
  <c r="J105" i="3"/>
  <c r="K94" i="3"/>
  <c r="K95" i="3" s="1"/>
  <c r="L82" i="3" s="1"/>
  <c r="AI81" i="3"/>
  <c r="J106" i="3" l="1"/>
  <c r="L83" i="3"/>
  <c r="K98" i="3"/>
  <c r="AJ81" i="3"/>
  <c r="J107" i="3" l="1"/>
  <c r="L93" i="3"/>
  <c r="K103" i="3"/>
  <c r="K99" i="3"/>
  <c r="AK81" i="3"/>
  <c r="J109" i="3" l="1"/>
  <c r="J108" i="3"/>
  <c r="L94" i="3"/>
  <c r="L95" i="3" s="1"/>
  <c r="M82" i="3" s="1"/>
  <c r="K104" i="3"/>
  <c r="L102" i="3" s="1"/>
  <c r="K105" i="3"/>
  <c r="AL81" i="3"/>
  <c r="L98" i="3" l="1"/>
  <c r="M83" i="3"/>
  <c r="K106" i="3"/>
  <c r="AM81" i="3"/>
  <c r="L99" i="3" l="1"/>
  <c r="L103" i="3"/>
  <c r="M93" i="3"/>
  <c r="K107" i="3"/>
  <c r="AN81" i="3"/>
  <c r="L104" i="3" l="1"/>
  <c r="M102" i="3" s="1"/>
  <c r="L105" i="3"/>
  <c r="M94" i="3"/>
  <c r="M95" i="3" s="1"/>
  <c r="N82" i="3" s="1"/>
  <c r="K109" i="3"/>
  <c r="K108" i="3"/>
  <c r="AO81" i="3"/>
  <c r="AP81" i="3" s="1"/>
  <c r="L106" i="3" l="1"/>
  <c r="M98" i="3"/>
  <c r="N83" i="3"/>
  <c r="AQ81" i="3"/>
  <c r="L107" i="3" l="1"/>
  <c r="M103" i="3"/>
  <c r="M99" i="3"/>
  <c r="N93" i="3"/>
  <c r="AR81" i="3"/>
  <c r="L109" i="3" l="1"/>
  <c r="L108" i="3"/>
  <c r="M104" i="3"/>
  <c r="N102" i="3" s="1"/>
  <c r="M105" i="3"/>
  <c r="N94" i="3"/>
  <c r="N95" i="3" s="1"/>
  <c r="O82" i="3" s="1"/>
  <c r="AS81" i="3"/>
  <c r="M106" i="3" l="1"/>
  <c r="N98" i="3"/>
  <c r="O83" i="3"/>
  <c r="AT81" i="3"/>
  <c r="M107" i="3" l="1"/>
  <c r="N99" i="3"/>
  <c r="N103" i="3"/>
  <c r="O93" i="3"/>
  <c r="AU81" i="3"/>
  <c r="M109" i="3" l="1"/>
  <c r="M108" i="3"/>
  <c r="N104" i="3"/>
  <c r="O102" i="3" s="1"/>
  <c r="N105" i="3"/>
  <c r="O94" i="3"/>
  <c r="O95" i="3" s="1"/>
  <c r="P82" i="3" s="1"/>
  <c r="AV81" i="3"/>
  <c r="N106" i="3" l="1"/>
  <c r="O98" i="3"/>
  <c r="P83" i="3"/>
  <c r="AW81" i="3"/>
  <c r="N107" i="3" l="1"/>
  <c r="O103" i="3"/>
  <c r="O99" i="3"/>
  <c r="P93" i="3"/>
  <c r="AX81" i="3"/>
  <c r="AY81" i="3"/>
  <c r="B81" i="3" s="1"/>
  <c r="B50" i="3" s="1"/>
  <c r="B55" i="1" s="1"/>
  <c r="N109" i="3" l="1"/>
  <c r="N108" i="3"/>
  <c r="O104" i="3"/>
  <c r="P102" i="3" s="1"/>
  <c r="O105" i="3"/>
  <c r="P94" i="3"/>
  <c r="P95" i="3" s="1"/>
  <c r="Q82" i="3" s="1"/>
  <c r="O106" i="3" l="1"/>
  <c r="P98" i="3"/>
  <c r="Q83" i="3"/>
  <c r="O107" i="3" l="1"/>
  <c r="P99" i="3"/>
  <c r="P103" i="3"/>
  <c r="Q93" i="3"/>
  <c r="O109" i="3" l="1"/>
  <c r="O108" i="3"/>
  <c r="P104" i="3"/>
  <c r="Q102" i="3" s="1"/>
  <c r="P105" i="3"/>
  <c r="Q94" i="3"/>
  <c r="Q95" i="3" s="1"/>
  <c r="R82" i="3" s="1"/>
  <c r="P106" i="3" l="1"/>
  <c r="Q98" i="3"/>
  <c r="R83" i="3"/>
  <c r="P107" i="3" l="1"/>
  <c r="Q103" i="3"/>
  <c r="Q99" i="3"/>
  <c r="R93" i="3"/>
  <c r="P109" i="3" l="1"/>
  <c r="P108" i="3"/>
  <c r="Q104" i="3"/>
  <c r="R102" i="3" s="1"/>
  <c r="Q105" i="3"/>
  <c r="R94" i="3"/>
  <c r="R95" i="3" s="1"/>
  <c r="S82" i="3" s="1"/>
  <c r="Q106" i="3" l="1"/>
  <c r="R98" i="3"/>
  <c r="S83" i="3"/>
  <c r="Q107" i="3" l="1"/>
  <c r="R99" i="3"/>
  <c r="R103" i="3"/>
  <c r="S93" i="3"/>
  <c r="Q109" i="3" l="1"/>
  <c r="Q108" i="3"/>
  <c r="R104" i="3"/>
  <c r="S102" i="3" s="1"/>
  <c r="R105" i="3"/>
  <c r="S94" i="3"/>
  <c r="S95" i="3"/>
  <c r="T82" i="3" s="1"/>
  <c r="R106" i="3" l="1"/>
  <c r="S98" i="3"/>
  <c r="T83" i="3"/>
  <c r="R107" i="3" l="1"/>
  <c r="S103" i="3"/>
  <c r="S99" i="3"/>
  <c r="T93" i="3"/>
  <c r="R109" i="3" l="1"/>
  <c r="R108" i="3"/>
  <c r="S104" i="3"/>
  <c r="T102" i="3" s="1"/>
  <c r="S105" i="3"/>
  <c r="T94" i="3"/>
  <c r="T95" i="3" s="1"/>
  <c r="U82" i="3" s="1"/>
  <c r="S106" i="3" l="1"/>
  <c r="T98" i="3"/>
  <c r="U83" i="3"/>
  <c r="S107" i="3" l="1"/>
  <c r="T103" i="3"/>
  <c r="T99" i="3"/>
  <c r="U93" i="3"/>
  <c r="S109" i="3" l="1"/>
  <c r="S108" i="3"/>
  <c r="T104" i="3"/>
  <c r="U102" i="3" s="1"/>
  <c r="T105" i="3"/>
  <c r="U94" i="3"/>
  <c r="U95" i="3" s="1"/>
  <c r="V82" i="3" s="1"/>
  <c r="T106" i="3" l="1"/>
  <c r="U98" i="3"/>
  <c r="V83" i="3"/>
  <c r="T107" i="3" l="1"/>
  <c r="U103" i="3"/>
  <c r="U99" i="3"/>
  <c r="V93" i="3"/>
  <c r="T109" i="3" l="1"/>
  <c r="T108" i="3"/>
  <c r="U104" i="3"/>
  <c r="V102" i="3" s="1"/>
  <c r="U105" i="3"/>
  <c r="V94" i="3"/>
  <c r="V95" i="3" s="1"/>
  <c r="W82" i="3" s="1"/>
  <c r="U106" i="3" l="1"/>
  <c r="V98" i="3"/>
  <c r="W83" i="3"/>
  <c r="U107" i="3" l="1"/>
  <c r="V103" i="3"/>
  <c r="V99" i="3"/>
  <c r="W93" i="3"/>
  <c r="U109" i="3" l="1"/>
  <c r="U108" i="3"/>
  <c r="V104" i="3"/>
  <c r="W102" i="3" s="1"/>
  <c r="V105" i="3"/>
  <c r="W94" i="3"/>
  <c r="W95" i="3" s="1"/>
  <c r="X82" i="3" s="1"/>
  <c r="V106" i="3" l="1"/>
  <c r="W98" i="3"/>
  <c r="X83" i="3"/>
  <c r="V107" i="3" l="1"/>
  <c r="W103" i="3"/>
  <c r="W99" i="3"/>
  <c r="X93" i="3"/>
  <c r="V109" i="3" l="1"/>
  <c r="V108" i="3"/>
  <c r="W104" i="3"/>
  <c r="X102" i="3" s="1"/>
  <c r="W105" i="3"/>
  <c r="X94" i="3"/>
  <c r="X95" i="3" s="1"/>
  <c r="Y82" i="3" s="1"/>
  <c r="W106" i="3" l="1"/>
  <c r="X98" i="3"/>
  <c r="Y83" i="3"/>
  <c r="W107" i="3" l="1"/>
  <c r="X103" i="3"/>
  <c r="X99" i="3"/>
  <c r="Y93" i="3"/>
  <c r="W109" i="3" l="1"/>
  <c r="W108" i="3"/>
  <c r="X104" i="3"/>
  <c r="Y102" i="3" s="1"/>
  <c r="X105" i="3"/>
  <c r="Y94" i="3"/>
  <c r="Y95" i="3"/>
  <c r="Z82" i="3" s="1"/>
  <c r="X106" i="3" l="1"/>
  <c r="Y98" i="3"/>
  <c r="Z83" i="3"/>
  <c r="X107" i="3" l="1"/>
  <c r="Y103" i="3"/>
  <c r="Y99" i="3"/>
  <c r="Z93" i="3"/>
  <c r="X109" i="3" l="1"/>
  <c r="X108" i="3"/>
  <c r="Y104" i="3"/>
  <c r="Z102" i="3" s="1"/>
  <c r="Y105" i="3"/>
  <c r="Z94" i="3"/>
  <c r="Z95" i="3" s="1"/>
  <c r="AA82" i="3" s="1"/>
  <c r="Y106" i="3" l="1"/>
  <c r="Z98" i="3"/>
  <c r="AA83" i="3"/>
  <c r="Y107" i="3" l="1"/>
  <c r="Z103" i="3"/>
  <c r="Z99" i="3"/>
  <c r="AA93" i="3"/>
  <c r="Y109" i="3" l="1"/>
  <c r="Y108" i="3"/>
  <c r="Z104" i="3"/>
  <c r="AA102" i="3" s="1"/>
  <c r="Z105" i="3"/>
  <c r="AA94" i="3"/>
  <c r="AA95" i="3" s="1"/>
  <c r="AB82" i="3" s="1"/>
  <c r="Z106" i="3" l="1"/>
  <c r="AA98" i="3"/>
  <c r="AB83" i="3"/>
  <c r="Z107" i="3" l="1"/>
  <c r="AA103" i="3"/>
  <c r="AA99" i="3"/>
  <c r="AB93" i="3"/>
  <c r="Z109" i="3" l="1"/>
  <c r="Z108" i="3"/>
  <c r="AA104" i="3"/>
  <c r="AB102" i="3" s="1"/>
  <c r="AA105" i="3"/>
  <c r="AB94" i="3"/>
  <c r="AB95" i="3" s="1"/>
  <c r="AC82" i="3" s="1"/>
  <c r="AA106" i="3" l="1"/>
  <c r="AB98" i="3"/>
  <c r="AC83" i="3"/>
  <c r="AA107" i="3" l="1"/>
  <c r="AB103" i="3"/>
  <c r="AB99" i="3"/>
  <c r="AC93" i="3"/>
  <c r="AA109" i="3" l="1"/>
  <c r="AA108" i="3"/>
  <c r="AB104" i="3"/>
  <c r="AC102" i="3" s="1"/>
  <c r="AB105" i="3"/>
  <c r="AC94" i="3"/>
  <c r="AC95" i="3" s="1"/>
  <c r="AD82" i="3" s="1"/>
  <c r="AB106" i="3" l="1"/>
  <c r="AC98" i="3"/>
  <c r="AD83" i="3"/>
  <c r="AB107" i="3" l="1"/>
  <c r="AC103" i="3"/>
  <c r="AC99" i="3"/>
  <c r="AD93" i="3"/>
  <c r="AB109" i="3" l="1"/>
  <c r="AB108" i="3"/>
  <c r="AC104" i="3"/>
  <c r="AD102" i="3" s="1"/>
  <c r="AC105" i="3"/>
  <c r="AD94" i="3"/>
  <c r="AD95" i="3" s="1"/>
  <c r="AE82" i="3" s="1"/>
  <c r="AC106" i="3" l="1"/>
  <c r="AD98" i="3"/>
  <c r="AE83" i="3"/>
  <c r="AC107" i="3" l="1"/>
  <c r="AD103" i="3"/>
  <c r="AD99" i="3"/>
  <c r="AE93" i="3"/>
  <c r="AC109" i="3" l="1"/>
  <c r="AC108" i="3"/>
  <c r="AD104" i="3"/>
  <c r="AE102" i="3" s="1"/>
  <c r="AD105" i="3"/>
  <c r="AE94" i="3"/>
  <c r="AE95" i="3" s="1"/>
  <c r="AF82" i="3" s="1"/>
  <c r="AD106" i="3" l="1"/>
  <c r="AF83" i="3"/>
  <c r="AE98" i="3"/>
  <c r="AD107" i="3" l="1"/>
  <c r="AF93" i="3"/>
  <c r="AE103" i="3"/>
  <c r="AE99" i="3"/>
  <c r="AD109" i="3" l="1"/>
  <c r="AD108" i="3"/>
  <c r="AF94" i="3"/>
  <c r="AF95" i="3" s="1"/>
  <c r="AG82" i="3" s="1"/>
  <c r="AE104" i="3"/>
  <c r="AF102" i="3" s="1"/>
  <c r="AE105" i="3"/>
  <c r="AG83" i="3" l="1"/>
  <c r="AF98" i="3"/>
  <c r="AE106" i="3"/>
  <c r="AG93" i="3" l="1"/>
  <c r="AF103" i="3"/>
  <c r="AF99" i="3"/>
  <c r="AE107" i="3"/>
  <c r="AG94" i="3" l="1"/>
  <c r="AG95" i="3" s="1"/>
  <c r="AH82" i="3" s="1"/>
  <c r="AF104" i="3"/>
  <c r="AG102" i="3" s="1"/>
  <c r="AF105" i="3"/>
  <c r="AE109" i="3"/>
  <c r="AE108" i="3"/>
  <c r="AH83" i="3" l="1"/>
  <c r="AG98" i="3"/>
  <c r="AF106" i="3"/>
  <c r="AH93" i="3" l="1"/>
  <c r="AG103" i="3"/>
  <c r="AG99" i="3"/>
  <c r="AF107" i="3"/>
  <c r="AH94" i="3" l="1"/>
  <c r="AH95" i="3" s="1"/>
  <c r="AI82" i="3" s="1"/>
  <c r="AG104" i="3"/>
  <c r="AH102" i="3" s="1"/>
  <c r="AG105" i="3"/>
  <c r="AF109" i="3"/>
  <c r="AF108" i="3"/>
  <c r="AI83" i="3" l="1"/>
  <c r="AH98" i="3"/>
  <c r="AG106" i="3"/>
  <c r="AI93" i="3" l="1"/>
  <c r="AH103" i="3"/>
  <c r="AH99" i="3"/>
  <c r="AG107" i="3"/>
  <c r="AI94" i="3" l="1"/>
  <c r="AI95" i="3" s="1"/>
  <c r="AJ82" i="3" s="1"/>
  <c r="AH104" i="3"/>
  <c r="AI102" i="3" s="1"/>
  <c r="AH105" i="3"/>
  <c r="AG109" i="3"/>
  <c r="AG108" i="3"/>
  <c r="AJ83" i="3" l="1"/>
  <c r="AI98" i="3"/>
  <c r="AH106" i="3"/>
  <c r="AJ93" i="3" l="1"/>
  <c r="AI103" i="3"/>
  <c r="AI99" i="3"/>
  <c r="AH107" i="3"/>
  <c r="AJ94" i="3" l="1"/>
  <c r="AJ95" i="3" s="1"/>
  <c r="AK82" i="3" s="1"/>
  <c r="AI104" i="3"/>
  <c r="AJ102" i="3" s="1"/>
  <c r="AI105" i="3"/>
  <c r="AH109" i="3"/>
  <c r="AH108" i="3"/>
  <c r="AK83" i="3" l="1"/>
  <c r="AJ98" i="3"/>
  <c r="AI106" i="3"/>
  <c r="AK93" i="3" l="1"/>
  <c r="AJ103" i="3"/>
  <c r="AJ99" i="3"/>
  <c r="AI107" i="3"/>
  <c r="AK94" i="3" l="1"/>
  <c r="AK95" i="3" s="1"/>
  <c r="AL82" i="3" s="1"/>
  <c r="AJ104" i="3"/>
  <c r="AK102" i="3" s="1"/>
  <c r="AJ105" i="3"/>
  <c r="AI109" i="3"/>
  <c r="AI108" i="3"/>
  <c r="AL83" i="3" l="1"/>
  <c r="AK98" i="3"/>
  <c r="AJ106" i="3"/>
  <c r="AL93" i="3" l="1"/>
  <c r="AK103" i="3"/>
  <c r="AK99" i="3"/>
  <c r="AJ107" i="3"/>
  <c r="AL94" i="3" l="1"/>
  <c r="AL95" i="3" s="1"/>
  <c r="AM82" i="3" s="1"/>
  <c r="AK104" i="3"/>
  <c r="AL102" i="3" s="1"/>
  <c r="AK105" i="3"/>
  <c r="AJ109" i="3"/>
  <c r="AJ108" i="3"/>
  <c r="AM83" i="3" l="1"/>
  <c r="AL98" i="3"/>
  <c r="AK106" i="3"/>
  <c r="AM93" i="3" l="1"/>
  <c r="AL103" i="3"/>
  <c r="AL99" i="3"/>
  <c r="AK107" i="3"/>
  <c r="AM94" i="3" l="1"/>
  <c r="AM95" i="3" s="1"/>
  <c r="AN82" i="3" s="1"/>
  <c r="AL104" i="3"/>
  <c r="AM102" i="3" s="1"/>
  <c r="AL105" i="3"/>
  <c r="AK109" i="3"/>
  <c r="AK108" i="3"/>
  <c r="AN83" i="3" l="1"/>
  <c r="AM98" i="3"/>
  <c r="AL106" i="3"/>
  <c r="AN93" i="3" l="1"/>
  <c r="AM103" i="3"/>
  <c r="AM99" i="3"/>
  <c r="AL107" i="3"/>
  <c r="AN94" i="3" l="1"/>
  <c r="AN95" i="3" s="1"/>
  <c r="AO82" i="3" s="1"/>
  <c r="AM104" i="3"/>
  <c r="AN102" i="3" s="1"/>
  <c r="AM105" i="3"/>
  <c r="AL109" i="3"/>
  <c r="AL108" i="3"/>
  <c r="AO83" i="3" l="1"/>
  <c r="AN98" i="3"/>
  <c r="AM106" i="3"/>
  <c r="AO93" i="3" l="1"/>
  <c r="AN103" i="3"/>
  <c r="AN99" i="3"/>
  <c r="AM107" i="3"/>
  <c r="AO94" i="3" l="1"/>
  <c r="AO95" i="3" s="1"/>
  <c r="AP82" i="3" s="1"/>
  <c r="AN104" i="3"/>
  <c r="AO102" i="3" s="1"/>
  <c r="AN105" i="3"/>
  <c r="AM109" i="3"/>
  <c r="AM108" i="3"/>
  <c r="AP83" i="3" l="1"/>
  <c r="AO98" i="3"/>
  <c r="AN106" i="3"/>
  <c r="AP93" i="3" l="1"/>
  <c r="AO103" i="3"/>
  <c r="AO99" i="3"/>
  <c r="AN107" i="3"/>
  <c r="AP94" i="3" l="1"/>
  <c r="AP95" i="3" s="1"/>
  <c r="AQ82" i="3" s="1"/>
  <c r="AO104" i="3"/>
  <c r="AP102" i="3" s="1"/>
  <c r="AO105" i="3"/>
  <c r="AN109" i="3"/>
  <c r="AN108" i="3"/>
  <c r="AQ83" i="3" l="1"/>
  <c r="AP98" i="3"/>
  <c r="AO106" i="3"/>
  <c r="AQ93" i="3" l="1"/>
  <c r="AP103" i="3"/>
  <c r="AP99" i="3"/>
  <c r="AO107" i="3"/>
  <c r="AQ94" i="3" l="1"/>
  <c r="AQ95" i="3" s="1"/>
  <c r="AR82" i="3" s="1"/>
  <c r="AP104" i="3"/>
  <c r="AQ102" i="3" s="1"/>
  <c r="AP105" i="3"/>
  <c r="AO109" i="3"/>
  <c r="AO108" i="3"/>
  <c r="AR83" i="3" l="1"/>
  <c r="AQ98" i="3"/>
  <c r="AP106" i="3"/>
  <c r="AR93" i="3" l="1"/>
  <c r="AQ103" i="3"/>
  <c r="AQ99" i="3"/>
  <c r="AP107" i="3"/>
  <c r="AR94" i="3" l="1"/>
  <c r="AR95" i="3" s="1"/>
  <c r="AS82" i="3" s="1"/>
  <c r="AQ104" i="3"/>
  <c r="AR102" i="3" s="1"/>
  <c r="AQ105" i="3"/>
  <c r="AP109" i="3"/>
  <c r="AP108" i="3"/>
  <c r="AS83" i="3" l="1"/>
  <c r="AR98" i="3"/>
  <c r="AQ106" i="3"/>
  <c r="AS93" i="3" l="1"/>
  <c r="AR103" i="3"/>
  <c r="AR99" i="3"/>
  <c r="AQ107" i="3"/>
  <c r="AS94" i="3" l="1"/>
  <c r="AS95" i="3" s="1"/>
  <c r="AT82" i="3" s="1"/>
  <c r="AR104" i="3"/>
  <c r="AS102" i="3" s="1"/>
  <c r="AR105" i="3"/>
  <c r="AQ109" i="3"/>
  <c r="AQ108" i="3"/>
  <c r="AT83" i="3" l="1"/>
  <c r="AS98" i="3"/>
  <c r="AR106" i="3"/>
  <c r="AT93" i="3" l="1"/>
  <c r="AS103" i="3"/>
  <c r="AS99" i="3"/>
  <c r="AR107" i="3"/>
  <c r="AT94" i="3" l="1"/>
  <c r="AT95" i="3" s="1"/>
  <c r="AU82" i="3" s="1"/>
  <c r="AS104" i="3"/>
  <c r="AT102" i="3" s="1"/>
  <c r="AS105" i="3"/>
  <c r="AR109" i="3"/>
  <c r="AR108" i="3"/>
  <c r="AU83" i="3" l="1"/>
  <c r="AT98" i="3"/>
  <c r="AS106" i="3"/>
  <c r="AU93" i="3" l="1"/>
  <c r="AT103" i="3"/>
  <c r="AT99" i="3"/>
  <c r="AS107" i="3"/>
  <c r="AU94" i="3" l="1"/>
  <c r="AU95" i="3" s="1"/>
  <c r="AV82" i="3" s="1"/>
  <c r="AT104" i="3"/>
  <c r="AU102" i="3" s="1"/>
  <c r="AT105" i="3"/>
  <c r="AS109" i="3"/>
  <c r="AS108" i="3"/>
  <c r="AV83" i="3" l="1"/>
  <c r="AU98" i="3"/>
  <c r="AT106" i="3"/>
  <c r="AV93" i="3" l="1"/>
  <c r="AU103" i="3"/>
  <c r="AU99" i="3"/>
  <c r="AT107" i="3"/>
  <c r="AV94" i="3" l="1"/>
  <c r="AV95" i="3" s="1"/>
  <c r="AW82" i="3" s="1"/>
  <c r="AU104" i="3"/>
  <c r="AV102" i="3" s="1"/>
  <c r="AU105" i="3"/>
  <c r="AT109" i="3"/>
  <c r="AT108" i="3"/>
  <c r="AW83" i="3" l="1"/>
  <c r="AV98" i="3"/>
  <c r="AU106" i="3"/>
  <c r="AW93" i="3" l="1"/>
  <c r="AV103" i="3"/>
  <c r="AV99" i="3"/>
  <c r="AU107" i="3"/>
  <c r="AW94" i="3" l="1"/>
  <c r="AW95" i="3" s="1"/>
  <c r="AX82" i="3" s="1"/>
  <c r="AV104" i="3"/>
  <c r="AW102" i="3" s="1"/>
  <c r="AV105" i="3"/>
  <c r="AU109" i="3"/>
  <c r="AU108" i="3"/>
  <c r="AX83" i="3" l="1"/>
  <c r="AW98" i="3"/>
  <c r="AV106" i="3"/>
  <c r="AX93" i="3" l="1"/>
  <c r="AW103" i="3"/>
  <c r="AW99" i="3"/>
  <c r="AV107" i="3"/>
  <c r="AX94" i="3" l="1"/>
  <c r="AX95" i="3" s="1"/>
  <c r="AY82" i="3" s="1"/>
  <c r="AW104" i="3"/>
  <c r="AX102" i="3" s="1"/>
  <c r="AW105" i="3"/>
  <c r="AV109" i="3"/>
  <c r="AV108" i="3"/>
  <c r="B82" i="3" l="1"/>
  <c r="AY83" i="3"/>
  <c r="AX98" i="3"/>
  <c r="AW106" i="3"/>
  <c r="B47" i="3" l="1"/>
  <c r="B37" i="1" s="1"/>
  <c r="B46" i="3"/>
  <c r="B83" i="3"/>
  <c r="AY93" i="3"/>
  <c r="AX99" i="3"/>
  <c r="AX103" i="3"/>
  <c r="AW107" i="3"/>
  <c r="B40" i="1" l="1"/>
  <c r="D37" i="1" s="1"/>
  <c r="C37" i="1"/>
  <c r="AY94" i="3"/>
  <c r="AY95" i="3" s="1"/>
  <c r="B64" i="3" s="1"/>
  <c r="B48" i="3"/>
  <c r="AX104" i="3"/>
  <c r="AY102" i="3" s="1"/>
  <c r="AX105" i="3"/>
  <c r="AW109" i="3"/>
  <c r="AW108" i="3"/>
  <c r="D34" i="1" l="1"/>
  <c r="D39" i="1"/>
  <c r="B43" i="1"/>
  <c r="D32" i="1"/>
  <c r="D40" i="1"/>
  <c r="C40" i="1"/>
  <c r="D31" i="1"/>
  <c r="B69" i="1"/>
  <c r="D33" i="1"/>
  <c r="D35" i="1"/>
  <c r="D36" i="1"/>
  <c r="D38" i="1"/>
  <c r="B94" i="3"/>
  <c r="AY98" i="3"/>
  <c r="B49" i="3"/>
  <c r="B54" i="1"/>
  <c r="AX106" i="3"/>
  <c r="B49" i="1" l="1"/>
  <c r="B50" i="1" s="1"/>
  <c r="B45" i="1"/>
  <c r="B44" i="1"/>
  <c r="C43" i="1"/>
  <c r="B68" i="1"/>
  <c r="B98" i="3"/>
  <c r="B54" i="3" s="1"/>
  <c r="B58" i="1" s="1"/>
  <c r="AY99" i="3"/>
  <c r="AY103" i="3"/>
  <c r="AX107" i="3"/>
  <c r="B99" i="3" l="1"/>
  <c r="B52" i="3" s="1"/>
  <c r="B56" i="3"/>
  <c r="B60" i="1" s="1"/>
  <c r="AY104" i="3"/>
  <c r="B103" i="3"/>
  <c r="AY105" i="3"/>
  <c r="AX109" i="3"/>
  <c r="AX108" i="3"/>
  <c r="B46" i="1" l="1"/>
  <c r="B55" i="3"/>
  <c r="B59" i="1" s="1"/>
  <c r="B53" i="3"/>
  <c r="B105" i="3"/>
  <c r="AY106" i="3"/>
  <c r="AY107" i="3" l="1"/>
  <c r="B106" i="3"/>
  <c r="B61" i="3" s="1"/>
  <c r="B64" i="1" s="1"/>
  <c r="AY109" i="3" l="1"/>
  <c r="AY108" i="3"/>
  <c r="B107" i="3"/>
  <c r="B109" i="3" l="1"/>
  <c r="B62" i="3" s="1"/>
  <c r="B63" i="3"/>
  <c r="B65" i="1" s="1"/>
  <c r="B108" i="3"/>
  <c r="B60" i="3"/>
  <c r="B62" i="1" s="1"/>
  <c r="B59" i="3" l="1"/>
  <c r="B63" i="1" s="1"/>
  <c r="B58" i="3"/>
</calcChain>
</file>

<file path=xl/sharedStrings.xml><?xml version="1.0" encoding="utf-8"?>
<sst xmlns="http://schemas.openxmlformats.org/spreadsheetml/2006/main" count="1147" uniqueCount="712">
  <si>
    <t>246 South 2nd Street · Master Pro Forma</t>
  </si>
  <si>
    <t>246 South 2nd Street on its own 3,100 sf lot in R6 with a commercial overlay: 8 stories at 85 ft (13'-11" ground floor, 11 ft 2nd floor, 10 ft above), plus a cellar and a private roof. 9 condos (8 market-rate and one affordable homeownership unit), 6,879 sellable sf; commercial on the 1st and 2nd floors (4,333 sf sellable) plus 1,857 sf in the cellar; Zone Green (ULEB) 5% exclusion; no air rights or certificates; all-electric. Residential priced at $1,450/sf (base, placeholder until comps).</t>
  </si>
  <si>
    <t>Every figure here is pulled from the Finance, Hard Costs and Soft Costs sheets (green). Change inputs on those sheets, not here.</t>
  </si>
  <si>
    <t>PROGRAM</t>
  </si>
  <si>
    <t>Condo units</t>
  </si>
  <si>
    <t>Net sellable residential sf, as designed</t>
  </si>
  <si>
    <t>The real area. Costs and the $ / sellable sf column use it.</t>
  </si>
  <si>
    <t>Sellable sf used for revenue</t>
  </si>
  <si>
    <t>Includes the owner's sellable-area adjustment (revenue only) on the Rev &amp; Unit-by-Unit sheet.</t>
  </si>
  <si>
    <t>Commercial at grade (1st floor), sf</t>
  </si>
  <si>
    <t>Commercial, 2nd floor, sf</t>
  </si>
  <si>
    <t>Cellar commercial and community facility, sf</t>
  </si>
  <si>
    <t>Sold with the commercial condo. Not zoning floor area.</t>
  </si>
  <si>
    <t>Gross floor area above grade</t>
  </si>
  <si>
    <t>Plus a cellar; see the Hard Costs sheet.</t>
  </si>
  <si>
    <t>Zoning floor area check (total, with the Zone Green exclusion)</t>
  </si>
  <si>
    <t>From the Hard Costs sheet: 11,911 of 14,880 sf counted.</t>
  </si>
  <si>
    <t>Market-rate residential floor area check</t>
  </si>
  <si>
    <t>6,819 counted of 6,820 allowed (2.2 FAR), after the Zone Green exclusion.</t>
  </si>
  <si>
    <t>Height check: 85 ft against the 85 ft limit</t>
  </si>
  <si>
    <t>REVENUE</t>
  </si>
  <si>
    <t>Amount</t>
  </si>
  <si>
    <t>$ / sellable sf</t>
  </si>
  <si>
    <t>% of cost</t>
  </si>
  <si>
    <t>Notes</t>
  </si>
  <si>
    <t>Residential condo sales, gross</t>
  </si>
  <si>
    <t>Sum of the unit prices on the Rev &amp; Unit-by-Unit sheet.</t>
  </si>
  <si>
    <t xml:space="preserve">  Average condo price, all units</t>
  </si>
  <si>
    <t>$ per sellable sf used for revenue.</t>
  </si>
  <si>
    <t xml:space="preserve">  Price, standard units</t>
  </si>
  <si>
    <t>Before any unit premium, discount or asking-price override.</t>
  </si>
  <si>
    <t>Commercial condo sale value</t>
  </si>
  <si>
    <t>Value per sf of commercial above grade (1st and 2nd floors). Rent, vacancy, expenses and cap rate on the Rev &amp; Unit-by-Unit sheet.</t>
  </si>
  <si>
    <t>Gross revenue</t>
  </si>
  <si>
    <t>Less condo sale costs</t>
  </si>
  <si>
    <t>Commissions, transfer taxes paid by the sponsor, closing costs.</t>
  </si>
  <si>
    <t>Less commercial sale costs</t>
  </si>
  <si>
    <t>Less end-loan packages and lender releases</t>
  </si>
  <si>
    <t>Net revenue</t>
  </si>
  <si>
    <t>PROJECT COSTS</t>
  </si>
  <si>
    <t>Land</t>
  </si>
  <si>
    <t>Inclusionary Housing certificates (none)</t>
  </si>
  <si>
    <t>Not needed: the affordable floor area is the on-site unit.</t>
  </si>
  <si>
    <t>Hard costs</t>
  </si>
  <si>
    <t>Owner's $450 per gsf above grade; the line items at 725 Grand rates come to about $471/gsf (Hard Costs sheet).</t>
  </si>
  <si>
    <t>Soft costs, construction period</t>
  </si>
  <si>
    <t>Before the mortgage recording tax; line by line on the Soft Costs sheet.</t>
  </si>
  <si>
    <t>Mortgage recording tax on the construction loan</t>
  </si>
  <si>
    <t>Loan origination fee</t>
  </si>
  <si>
    <t>Construction loan interest</t>
  </si>
  <si>
    <t>From the monthly cash flow on the Finance sheet.</t>
  </si>
  <si>
    <t>Equity placement fee</t>
  </si>
  <si>
    <t>Sponsor wind-down</t>
  </si>
  <si>
    <t>Board turnover, warranty reserve, final audit and dissolution, on the Soft Costs sheet.</t>
  </si>
  <si>
    <t>Total project cost</t>
  </si>
  <si>
    <t>PROFIT</t>
  </si>
  <si>
    <t>Profit</t>
  </si>
  <si>
    <t>Margin on cost</t>
  </si>
  <si>
    <t>Profit ÷ total project cost.</t>
  </si>
  <si>
    <t>Profit per unit</t>
  </si>
  <si>
    <t>Check: Finance sheet profit less this profit (should be 0)</t>
  </si>
  <si>
    <t xml:space="preserve">  of which from the sellable-area adjustment</t>
  </si>
  <si>
    <t>Off in this case.</t>
  </si>
  <si>
    <t xml:space="preserve">  of which from commercial at 0% vacancy</t>
  </si>
  <si>
    <t>Compared with 5% vacancy, net of commercial sale costs.</t>
  </si>
  <si>
    <t>Profit without these two adjustments</t>
  </si>
  <si>
    <t>What a lender or appraiser measuring the real areas might see. Approximate: interest held fixed.</t>
  </si>
  <si>
    <t>Margin on cost without them</t>
  </si>
  <si>
    <t>CAPITAL</t>
  </si>
  <si>
    <t>Construction loan commitment</t>
  </si>
  <si>
    <t>Peak loan balance</t>
  </si>
  <si>
    <t>Equity invested</t>
  </si>
  <si>
    <t>Goes in first, before any loan draws.</t>
  </si>
  <si>
    <t>RETURNS</t>
  </si>
  <si>
    <t>Equity multiple</t>
  </si>
  <si>
    <t>Cash-on-cash return, whole project</t>
  </si>
  <si>
    <t>Profit ÷ equity. Paid at sell-out; a for-sale condo has no annual cash yield.</t>
  </si>
  <si>
    <t>Levered IRR, all equity</t>
  </si>
  <si>
    <t>Annualized, from the monthly cash flow.</t>
  </si>
  <si>
    <t>Unlevered project IRR</t>
  </si>
  <si>
    <t>Investors (excluding sponsor): IRR</t>
  </si>
  <si>
    <t>After the pref and the sponsor's promote.</t>
  </si>
  <si>
    <t>Investors (excluding sponsor): equity multiple</t>
  </si>
  <si>
    <t>Sponsor promote</t>
  </si>
  <si>
    <t>Sponsor IRR on co-investment, with promote</t>
  </si>
  <si>
    <t>BREAK-EVEN CONDO PRICE</t>
  </si>
  <si>
    <t>Average condo price for zero profit</t>
  </si>
  <si>
    <t>$ per sellable sf used for revenue, across all units. Approximate: holds the interest cost fixed while prices change.</t>
  </si>
  <si>
    <t>Average condo price for a 15% margin on cost</t>
  </si>
  <si>
    <t>Same basis and approximation.</t>
  </si>
  <si>
    <t>Preliminary feasibility figures for discussion only; not an offer to sell securities.</t>
  </si>
  <si>
    <t>246 South 2nd Street · Revenue and Unit-by-Unit</t>
  </si>
  <si>
    <t>Base (8 stories at 85 ft, 9 units). All sales revenue lives here: each unit's area and price, the commercial condo value, and the sale costs that take gross revenue down to net revenue. Finance and Master read from this sheet.</t>
  </si>
  <si>
    <t>Blue = input. Green = linked from Hard Costs. Black = formula. Yellow = the sellable-area adjustment, which affects revenue only.</t>
  </si>
  <si>
    <t>PRICING</t>
  </si>
  <si>
    <t>Price, standard units</t>
  </si>
  <si>
    <t>$ / sf</t>
  </si>
  <si>
    <t>Placeholder at 725 Grand's base case, $1,450/sf, until the Southside comps are pulled. The OM compares an upside at $1,650/sf.</t>
  </si>
  <si>
    <t>Mezzanine duplex premium (not used)</t>
  </si>
  <si>
    <t>over standard</t>
  </si>
  <si>
    <t>No duplex or mezzanine units in this design.</t>
  </si>
  <si>
    <t>Price, mezzanine duplexes</t>
  </si>
  <si>
    <t>SELLABLE-AREA ADJUSTMENT (revenue only)</t>
  </si>
  <si>
    <t>Design sellable sf, from the Hard Costs unit mix</t>
  </si>
  <si>
    <t>sf</t>
  </si>
  <si>
    <t>The real area the costs, zoning check and 3D model use.</t>
  </si>
  <si>
    <t>Target sellable sf for revenue</t>
  </si>
  <si>
    <t>Off (0): revenue uses the designed area. Enter a target to show an upside stretch.</t>
  </si>
  <si>
    <t>Adjustment</t>
  </si>
  <si>
    <t>Spread pro rata across the units below. Does not change construction costs.</t>
  </si>
  <si>
    <t>Adjustment as a share of design area</t>
  </si>
  <si>
    <t>UNIT-BY-UNIT</t>
  </si>
  <si>
    <t>Unit</t>
  </si>
  <si>
    <t>Floor(s)</t>
  </si>
  <si>
    <t>Type (from the unit mix)</t>
  </si>
  <si>
    <t>Bed-rooms</t>
  </si>
  <si>
    <t>Baths</t>
  </si>
  <si>
    <t>Mezza-nine</t>
  </si>
  <si>
    <t>Design sf (model)</t>
  </si>
  <si>
    <t>Adjust-ment sf</t>
  </si>
  <si>
    <t>Sellable sf</t>
  </si>
  <si>
    <t>Base $ / sf</t>
  </si>
  <si>
    <t>Unit premium / discount</t>
  </si>
  <si>
    <t>Asking price override ($)</t>
  </si>
  <si>
    <t>Unit price ($)</t>
  </si>
  <si>
    <t>Final $ / sf</t>
  </si>
  <si>
    <t>Closes, months after TCO</t>
  </si>
  <si>
    <t>4F</t>
  </si>
  <si>
    <t>4</t>
  </si>
  <si>
    <t>Affordable homeownership unit, priced at the affordable sale price, not market comps. Closes at TCO.</t>
  </si>
  <si>
    <t>4R</t>
  </si>
  <si>
    <t>Rear, with an 81 sf balcony. Presold off the plans; closes at TCO.</t>
  </si>
  <si>
    <t>5F</t>
  </si>
  <si>
    <t>5</t>
  </si>
  <si>
    <t>Street side. Presold off the plans; closes at TCO.</t>
  </si>
  <si>
    <t>5R</t>
  </si>
  <si>
    <t>Rear, with an 85 sf balcony. Presold off the plans; closes at TCO.</t>
  </si>
  <si>
    <t>6F</t>
  </si>
  <si>
    <t>6</t>
  </si>
  <si>
    <t>6R</t>
  </si>
  <si>
    <t>Rear, with a 55 sf balcony. Presold off the plans; closes at TCO.</t>
  </si>
  <si>
    <t>7F</t>
  </si>
  <si>
    <t>7</t>
  </si>
  <si>
    <t>Studio with a 292 sf street terrace on the setback. Presold off the plans; closes at TCO.</t>
  </si>
  <si>
    <t>7R</t>
  </si>
  <si>
    <t>Rear, with a 52 sf balcony. Presold off the plans; closes at TCO.</t>
  </si>
  <si>
    <t>PH</t>
  </si>
  <si>
    <t>8</t>
  </si>
  <si>
    <t>Full-floor penthouse: setback terrace and balcony (431 sf) plus a 1,505 sf private roof. Presold off the plans; closes at TCO.</t>
  </si>
  <si>
    <t>Total</t>
  </si>
  <si>
    <t>Check against the Hard Costs unit mix</t>
  </si>
  <si>
    <t>If you change the unit mix on Hard Costs, add or remove rows here to match. Design sf per unit is typed in from the model.</t>
  </si>
  <si>
    <t>Revenue from the sellable-area adjustment</t>
  </si>
  <si>
    <t>Gross condo sales that come only from the adjustment (units with an asking-price override excluded).</t>
  </si>
  <si>
    <t>COMMERCIAL CONDO</t>
  </si>
  <si>
    <t>Sellable, from the model; set on Hard Costs.</t>
  </si>
  <si>
    <t>Rent, at grade</t>
  </si>
  <si>
    <t>$ / sf / yr</t>
  </si>
  <si>
    <t>Placeholder for a mid-block Southside storefront (725 Grand used $90 for a Grand and Graham corner). Confirm with a broker.</t>
  </si>
  <si>
    <t>Full 2nd floor: office, medical or community use. Set on Hard Costs.</t>
  </si>
  <si>
    <t>Rent, 2nd floor</t>
  </si>
  <si>
    <t>Placeholder for second-floor space. Confirm with a broker.</t>
  </si>
  <si>
    <t>Vacancy</t>
  </si>
  <si>
    <t>0% as in the 725 Grand base case (pre-leased). The 5% value below is what a lender might use.</t>
  </si>
  <si>
    <t>Landlord expenses</t>
  </si>
  <si>
    <t>of rent</t>
  </si>
  <si>
    <t>Cellar commercial and community facility area</t>
  </si>
  <si>
    <t>Below-grade space sold with the commercial condo. Set on Hard Costs.</t>
  </si>
  <si>
    <t>Cellar rent</t>
  </si>
  <si>
    <t>Below-grade space rents for a fraction of the ground floor.</t>
  </si>
  <si>
    <t>Net operating income</t>
  </si>
  <si>
    <t>$ / yr</t>
  </si>
  <si>
    <t>Ground floor, 2nd floor and cellar, less vacancy and landlord expenses.</t>
  </si>
  <si>
    <t>Cap rate</t>
  </si>
  <si>
    <t>$</t>
  </si>
  <si>
    <t>Value at 5% vacancy, for comparison</t>
  </si>
  <si>
    <t>What a lender or appraiser might use instead.</t>
  </si>
  <si>
    <t>GROSS REVENUE</t>
  </si>
  <si>
    <t>Condo sales, gross (all units above)</t>
  </si>
  <si>
    <t>SALE COSTS</t>
  </si>
  <si>
    <t>Line item</t>
  </si>
  <si>
    <t>Basis</t>
  </si>
  <si>
    <t>Basis unit</t>
  </si>
  <si>
    <t>Rate</t>
  </si>
  <si>
    <t>Rate basis</t>
  </si>
  <si>
    <t>Total ($)</t>
  </si>
  <si>
    <t>% of gross</t>
  </si>
  <si>
    <t>Condo unit sales</t>
  </si>
  <si>
    <t>Sales commissions (in-house sales plus co-brokers)</t>
  </si>
  <si>
    <t>$ gross sales</t>
  </si>
  <si>
    <t>% of sales</t>
  </si>
  <si>
    <t>725 Grand owner's rate, 3%: part of the sales in-house, some co-brokered.</t>
  </si>
  <si>
    <t>NYC Real Property Transfer Tax, paid by sponsor</t>
  </si>
  <si>
    <t>Owner: the sponsor pays, as most sellers do. Rate for residential sales over $500,000.</t>
  </si>
  <si>
    <t>NYS transfer tax, paid by sponsor</t>
  </si>
  <si>
    <t>0.4% under $3M per unit; 0.65% for a unit at $3M or more.</t>
  </si>
  <si>
    <t>Sponsor's closing attorney</t>
  </si>
  <si>
    <t>units</t>
  </si>
  <si>
    <t>$ / unit</t>
  </si>
  <si>
    <t>Offering plan amendments (pricing, budget, closing)</t>
  </si>
  <si>
    <t>allowance</t>
  </si>
  <si>
    <t>lump sum</t>
  </si>
  <si>
    <t>Condo declaration, tax-lot apportionment and recording</t>
  </si>
  <si>
    <t>Needed before the first unit can close.</t>
  </si>
  <si>
    <t>Staging (no duplexes in this design)</t>
  </si>
  <si>
    <t>Set a count here to stage a model unit.</t>
  </si>
  <si>
    <t>Buyer closing credits and concessions</t>
  </si>
  <si>
    <t>Set if you plan to offer credits to move units.</t>
  </si>
  <si>
    <t>Condo sale costs</t>
  </si>
  <si>
    <t>Commercial condo sale</t>
  </si>
  <si>
    <t>Brokerage commission</t>
  </si>
  <si>
    <t>$ sale value</t>
  </si>
  <si>
    <t>% of sale</t>
  </si>
  <si>
    <t>NYC Real Property Transfer Tax</t>
  </si>
  <si>
    <t>Commercial rate for sales over $500,000.</t>
  </si>
  <si>
    <t>NYS transfer tax</t>
  </si>
  <si>
    <t>Commercial rate at $2M or more.</t>
  </si>
  <si>
    <t>Seller legal fees</t>
  </si>
  <si>
    <t>Commercial sale costs</t>
  </si>
  <si>
    <t>End-loan packages and lender releases</t>
  </si>
  <si>
    <t>Project approval package for buyers' mortgage lenders</t>
  </si>
  <si>
    <t>Condo questionnaires, budget and insurance certificates so buyers' banks will lend in the building. Owner: to be refined later.</t>
  </si>
  <si>
    <t>Construction lender partial-release fees</t>
  </si>
  <si>
    <t>Lender releases each unit from the construction mortgage at closing.</t>
  </si>
  <si>
    <t>Construction loan payoff and satisfaction recording</t>
  </si>
  <si>
    <t>End-loan and release costs</t>
  </si>
  <si>
    <t>TOTAL SALE COSTS</t>
  </si>
  <si>
    <t>NET REVENUE</t>
  </si>
  <si>
    <t>Gross revenue less all sale costs. Sponsor wind-down costs are on the Soft Costs sheet.</t>
  </si>
  <si>
    <t>WHAT THE OWNER ADJUSTMENTS ADD (net of sale costs)</t>
  </si>
  <si>
    <t>Sellable-area adjustment</t>
  </si>
  <si>
    <t>Off in this case (no target set above).</t>
  </si>
  <si>
    <t>Commercial at 0% vacancy, vs 5%</t>
  </si>
  <si>
    <t>Commercial value above the comparison value, less commercial sale costs.</t>
  </si>
  <si>
    <t>246 South 2nd Street · Finance</t>
  </si>
  <si>
    <t>246 South 2nd Street on its own 3,100 sf lot in R6 with a commercial overlay: 8 stories at 85 ft (13'-11" ground floor, 11 ft 2nd floor, 10 ft above), plus a cellar and a private roof. 9 condos (8 market-rate and one affordable homeownership unit), 6,879 sellable sf; commercial on the 1st and 2nd floors (4,333 sf sellable) plus 1,857 sf in the cellar; Zone Green (ULEB) 5% exclusion; no air rights or certificates; all-electric.</t>
  </si>
  <si>
    <t>Blue = input you can change. Green = linked from the Hard Costs, Soft Costs and Rev &amp; Unit-by-Unit sheets. Black = formula. The schedule months are placeholders until we set the timing together; the Gantt chart will use them.</t>
  </si>
  <si>
    <t>SCHEDULE (placeholder months)</t>
  </si>
  <si>
    <t>Pre-development: design, approvals and permits</t>
  </si>
  <si>
    <t>months</t>
  </si>
  <si>
    <t>From land closing (month 0) to the start of construction. Equity carries these months.</t>
  </si>
  <si>
    <t>Construction: ground-breaking to TCO</t>
  </si>
  <si>
    <t>20 months, as in the 725 Grand base case. Hard-cost draws come from the Gantt sheet.</t>
  </si>
  <si>
    <t>Sell-out after completion</t>
  </si>
  <si>
    <t>Window for closings after TCO. Each unit closes in the month set on the Rev &amp; Unit-by-Unit sheet: presold units at TCO, the staged duplexes a few months later.</t>
  </si>
  <si>
    <t>Retail sale closes, months after completion</t>
  </si>
  <si>
    <t>Project length</t>
  </si>
  <si>
    <t>The Soft Costs sheet's project length links here. The monthly grid below runs 48 months.</t>
  </si>
  <si>
    <t>CONSTRUCTION LOAN</t>
  </si>
  <si>
    <t>Loan-to-cost</t>
  </si>
  <si>
    <t>Share of costs before financing that the loan funds. Equity goes in first.</t>
  </si>
  <si>
    <t>Interest rate</t>
  </si>
  <si>
    <t>per year</t>
  </si>
  <si>
    <t>Owner, Oct 16 2026: 9.5%. Accrues monthly on the drawn balance and is added to the loan.</t>
  </si>
  <si>
    <t>Origination fee</t>
  </si>
  <si>
    <t>of commitment</t>
  </si>
  <si>
    <t>Paid when the loan closes, in the first month of construction.</t>
  </si>
  <si>
    <t>Interest reserve allowance</t>
  </si>
  <si>
    <t>of loan</t>
  </si>
  <si>
    <t>Added to the loan commitment to cover capitalized interest. Sizes the commitment, the origination fee and the mortgage recording tax.</t>
  </si>
  <si>
    <t>EQUITY</t>
  </si>
  <si>
    <t>Preferred return to investors</t>
  </si>
  <si>
    <t>Compounded monthly on invested capital until it is returned. The deck uses 8%; your Base w Fin tab charged 12% on land equity.</t>
  </si>
  <si>
    <t>Sponsor promote above the pref</t>
  </si>
  <si>
    <t>of cash above pref</t>
  </si>
  <si>
    <t>After capital plus pref is paid back, the sponsor takes this share and investors the rest (the deck's 70/30).</t>
  </si>
  <si>
    <t>Sponsor co-investment</t>
  </si>
  <si>
    <t>of equity</t>
  </si>
  <si>
    <t>Sponsor's own money in the deal, on the same terms as investors.</t>
  </si>
  <si>
    <t>Fee to a broker for raising the equity, paid at closing. 0% unless you use a placement agent.</t>
  </si>
  <si>
    <t>FROM THE COST SHEETS</t>
  </si>
  <si>
    <t>Land purchase price</t>
  </si>
  <si>
    <t>Paid at closing, month 0.</t>
  </si>
  <si>
    <t>Not needed for this design.</t>
  </si>
  <si>
    <t>Total hard cost</t>
  </si>
  <si>
    <t>Construction soft costs, before mortgage recording tax</t>
  </si>
  <si>
    <t>Spread evenly from closing to the end of construction.</t>
  </si>
  <si>
    <t>Paid when the loan closes.</t>
  </si>
  <si>
    <t>Condo gross sales</t>
  </si>
  <si>
    <t>Commissions, transfer taxes and closing costs, paid as units close.</t>
  </si>
  <si>
    <t>Retail condo sale value</t>
  </si>
  <si>
    <t>Retail sale costs</t>
  </si>
  <si>
    <t>End-loan packages and sponsor wind-down</t>
  </si>
  <si>
    <t>Paid in the last month.</t>
  </si>
  <si>
    <t>LOAN AND EQUITY SIZING</t>
  </si>
  <si>
    <t>Costs before financing, excluding recording tax</t>
  </si>
  <si>
    <t>Land + hard + construction soft costs.</t>
  </si>
  <si>
    <t>Loan commitment</t>
  </si>
  <si>
    <t>Loan-to-cost × costs, plus the interest reserve allowance. The Soft Costs sheet's recording tax is figured on this.</t>
  </si>
  <si>
    <t>Costs before the loan closes</t>
  </si>
  <si>
    <t>Land and pre-development soft costs. Equity must cover at least this.</t>
  </si>
  <si>
    <t>Equity required</t>
  </si>
  <si>
    <t>(1 - loan-to-cost) x costs including recording tax, or the costs before the loan closes if that is more.</t>
  </si>
  <si>
    <t>Total equity</t>
  </si>
  <si>
    <t>Invested first, before any loan draws.</t>
  </si>
  <si>
    <t>RESULTS</t>
  </si>
  <si>
    <t>Total project cost, including financing</t>
  </si>
  <si>
    <t xml:space="preserve">  of which construction loan interest</t>
  </si>
  <si>
    <t>Highest drawn balance, including capitalized interest.</t>
  </si>
  <si>
    <t>Loan commitment less peak balance</t>
  </si>
  <si>
    <t>Negative means the loan as sized would not cover the costs and interest: raise loan-to-cost or the interest reserve.</t>
  </si>
  <si>
    <t>Net sale proceeds</t>
  </si>
  <si>
    <t>Everything returned to equity less everything equity put in.</t>
  </si>
  <si>
    <t>Total cash returned above cash invested, as a share of the cash invested. A for-sale condo pays out at the end, so there is no annual cash yield.</t>
  </si>
  <si>
    <t>Annualized from the monthly equity cash flow.</t>
  </si>
  <si>
    <t>Land, hard and soft costs against net sale proceeds, with no loan.</t>
  </si>
  <si>
    <t>Investors (excluding sponsor): profit</t>
  </si>
  <si>
    <t>Sponsor: promote</t>
  </si>
  <si>
    <t>Sponsor: promote plus co-investment profit</t>
  </si>
  <si>
    <t>Sponsor: IRR on co-investment</t>
  </si>
  <si>
    <t>On the sponsor's co-investment, with the promote included.</t>
  </si>
  <si>
    <t>Check: loan balance left at the end (should be 0)</t>
  </si>
  <si>
    <t>MONTHLY CASH FLOW</t>
  </si>
  <si>
    <t>Month</t>
  </si>
  <si>
    <t>Phase</t>
  </si>
  <si>
    <t>Costs</t>
  </si>
  <si>
    <t>IH certificates</t>
  </si>
  <si>
    <t>Hard costs (from the Gantt draw schedule)</t>
  </si>
  <si>
    <t>Soft costs, before recording tax</t>
  </si>
  <si>
    <t>Mortgage recording tax</t>
  </si>
  <si>
    <t>Costs before interest</t>
  </si>
  <si>
    <t>Funding</t>
  </si>
  <si>
    <t>Equity in</t>
  </si>
  <si>
    <t>Loan interest (added to the loan)</t>
  </si>
  <si>
    <t>Loan draw</t>
  </si>
  <si>
    <t>Sales</t>
  </si>
  <si>
    <t>Condo sales, gross (each unit in its closing month)</t>
  </si>
  <si>
    <t>Condo sale costs, with each closing</t>
  </si>
  <si>
    <t>Retail sale, net of sale costs</t>
  </si>
  <si>
    <t>End-loan and wind-down costs</t>
  </si>
  <si>
    <t>Construction loan</t>
  </si>
  <si>
    <t>Balance before repayment</t>
  </si>
  <si>
    <t>Repayment from sales</t>
  </si>
  <si>
    <t>Closing balance</t>
  </si>
  <si>
    <t>Equity</t>
  </si>
  <si>
    <t>Cash to equity after loan repayment</t>
  </si>
  <si>
    <t>Net equity cash flow</t>
  </si>
  <si>
    <t>Investor waterfall</t>
  </si>
  <si>
    <t>Owed to investors: capital plus pref</t>
  </si>
  <si>
    <t>Paid toward capital plus pref</t>
  </si>
  <si>
    <t>Still owed after payment</t>
  </si>
  <si>
    <t>Cash above capital plus pref</t>
  </si>
  <si>
    <t>Investors' cash flow (all equity)</t>
  </si>
  <si>
    <t>Investors excluding sponsor</t>
  </si>
  <si>
    <t>Sponsor: co-investment plus promote</t>
  </si>
  <si>
    <t>Unlevered</t>
  </si>
  <si>
    <t>Project cash flow before financing</t>
  </si>
  <si>
    <t>246 South 2nd Street · Gantt and Construction Draw Schedule</t>
  </si>
  <si>
    <t>Base (8 stories at 85 ft, 20-month build). Month by month from the equity raise to the last closing. Each hard-cost line is spread evenly between its start and end month; the owner-budget adjustment and contingency are spread pro rata.</t>
  </si>
  <si>
    <t>Blue = start and end months you can change. Green = linked. Shaded cells show when each activity happens; construction cells show the monthly draw in $ thousands.</t>
  </si>
  <si>
    <t>SCHEDULE</t>
  </si>
  <si>
    <t>Land closing (month 0)</t>
  </si>
  <si>
    <t>Placeholder carried from 725 Grand: 3 months to find investors, 3 months to close.</t>
  </si>
  <si>
    <t>Pre-development</t>
  </si>
  <si>
    <t>Set on the Finance sheet.</t>
  </si>
  <si>
    <t>Construction</t>
  </si>
  <si>
    <t>Set on the Finance sheet. Construction month 1 = project month pre-development + 1.</t>
  </si>
  <si>
    <t>Sell-out after TCO</t>
  </si>
  <si>
    <t>Offering plan accepted by the Attorney General</t>
  </si>
  <si>
    <t>proj. month</t>
  </si>
  <si>
    <t>Presales start here. Contracts cannot be signed before acceptance.</t>
  </si>
  <si>
    <t>Project month</t>
  </si>
  <si>
    <t>Budget</t>
  </si>
  <si>
    <t>Start</t>
  </si>
  <si>
    <t>End</t>
  </si>
  <si>
    <t>BEFORE CONSTRUCTION</t>
  </si>
  <si>
    <t>Start and end are project months (0 = land closing).</t>
  </si>
  <si>
    <t>Equity raise: find investors</t>
  </si>
  <si>
    <t>Closing period</t>
  </si>
  <si>
    <t>Land closing</t>
  </si>
  <si>
    <t>Design and Buildings Department filing</t>
  </si>
  <si>
    <t>Phase I environmental</t>
  </si>
  <si>
    <t>ULEB energy model and Zone Green filing</t>
  </si>
  <si>
    <t>Offering plan drafted and submitted to the AG</t>
  </si>
  <si>
    <t>Buildings Department approvals and permits</t>
  </si>
  <si>
    <t>GC bidding and buyout</t>
  </si>
  <si>
    <t>Construction loan closing</t>
  </si>
  <si>
    <t>CONSTRUCTION DRAWS</t>
  </si>
  <si>
    <t>Start and end are construction months (1 = first month of construction). Cells show $ thousands drawn that month.</t>
  </si>
  <si>
    <t>Substructure and shell</t>
  </si>
  <si>
    <t>Excavation and soil removal</t>
  </si>
  <si>
    <t>Dewatering and support of excavation</t>
  </si>
  <si>
    <t>Underpinning and shoring at shared lot lines</t>
  </si>
  <si>
    <t>Footings and foundation walls</t>
  </si>
  <si>
    <t>Cellar slab, waterproofing and vapour barrier</t>
  </si>
  <si>
    <t>Demolition of the existing building</t>
  </si>
  <si>
    <t>Superstructure, ground to roof</t>
  </si>
  <si>
    <t>Super Structure - Floor Slab</t>
  </si>
  <si>
    <t>Rooftop MEP penthouse</t>
  </si>
  <si>
    <t>Envelope</t>
  </si>
  <si>
    <t>Windows: high-performance double-pane, street walls</t>
  </si>
  <si>
    <t>Insulated opaque wall, street walls</t>
  </si>
  <si>
    <t>Lot-line and party walls</t>
  </si>
  <si>
    <t>Façade fins (none in this design)</t>
  </si>
  <si>
    <t>Roofing, waterproofing and flashing</t>
  </si>
  <si>
    <t>Solar panels or green roof</t>
  </si>
  <si>
    <t>Core and systems</t>
  </si>
  <si>
    <t>Elevator, one car</t>
  </si>
  <si>
    <t>Scissor stair, flights, railings and risers</t>
  </si>
  <si>
    <t>MEP, residential: plumbing, electrical and distribution</t>
  </si>
  <si>
    <t>Heat pumps: heating and cooling</t>
  </si>
  <si>
    <t>ERVs: energy recovery ventilation</t>
  </si>
  <si>
    <t>Heat-pump water heaters</t>
  </si>
  <si>
    <t>Electric service upgrade (Con Ed), all-electric building</t>
  </si>
  <si>
    <t>MEP, commercial core and shell (1st and 2nd floors)</t>
  </si>
  <si>
    <t>Sprinkler, standpipe and fire alarm</t>
  </si>
  <si>
    <t>Fit-out</t>
  </si>
  <si>
    <t>Unit walls: demising, corridor and core (fire-rated)</t>
  </si>
  <si>
    <t>Partitions inside units</t>
  </si>
  <si>
    <t>Unit entry doors (fire-rated)</t>
  </si>
  <si>
    <t>Interior doors</t>
  </si>
  <si>
    <t>Flooring</t>
  </si>
  <si>
    <t>Paint</t>
  </si>
  <si>
    <t>Unit interiors: trim, closets, hardware and ceilings</t>
  </si>
  <si>
    <t>Kitchen cabinets</t>
  </si>
  <si>
    <t>Kitchen appliances (induction)</t>
  </si>
  <si>
    <t>Bathrooms</t>
  </si>
  <si>
    <t>Private bulkhead and roof skylight</t>
  </si>
  <si>
    <t>Cellar commercial and community facility fit-out</t>
  </si>
  <si>
    <t>Cellar commercial: second exit and code upgrades</t>
  </si>
  <si>
    <t>Corridors, lobby and core finishes</t>
  </si>
  <si>
    <t>Terraces, balconies and roof deck</t>
  </si>
  <si>
    <t>Site and general</t>
  </si>
  <si>
    <t>Sidewalk, vault, utilities and site work</t>
  </si>
  <si>
    <t>Environmental remediation allowance</t>
  </si>
  <si>
    <t>General conditions</t>
  </si>
  <si>
    <t>General conditions and GC fee</t>
  </si>
  <si>
    <t>Trades plus general conditions</t>
  </si>
  <si>
    <t>Owner-budget adjustment, ULEB detailing and contingency, pro rata</t>
  </si>
  <si>
    <t>MONTHLY CONSTRUCTION DRAW</t>
  </si>
  <si>
    <t>Cash drawn to date</t>
  </si>
  <si>
    <t>Percent per month</t>
  </si>
  <si>
    <t>Percent complete to date</t>
  </si>
  <si>
    <t>Check: total draws less the Hard Costs total (should be 0)</t>
  </si>
  <si>
    <t>SALES AND MILESTONES</t>
  </si>
  <si>
    <t>X marks a milestone. Unit closings come from the closing month of each unit on the Rev &amp; Unit-by-Unit sheet.</t>
  </si>
  <si>
    <t>Presales of the standard units</t>
  </si>
  <si>
    <t>Finish and stage the penthouse</t>
  </si>
  <si>
    <t>Construction loan closes and construction starts</t>
  </si>
  <si>
    <t>Offering plan accepted; presales launch</t>
  </si>
  <si>
    <t>TCO: temporary certificate of occupancy</t>
  </si>
  <si>
    <t>Retail condo sale closes</t>
  </si>
  <si>
    <t>Last unit closes; project complete</t>
  </si>
  <si>
    <t>Unit closings (number of units)</t>
  </si>
  <si>
    <t>Check: every unit closes within the sell-out period</t>
  </si>
  <si>
    <t>246 South 2nd Street · Hard Cost Budget · Base</t>
  </si>
  <si>
    <t>Blue cells are inputs. Black cells are formulas. Use the + / - buttons at the left edge to collapse the input blocks. Rates carry over from the 725 Grand budget as planning placeholders, not bids. Areas and lengths are measured from the 246 South 2nd Street floor area model (claude.ai artifact), October 18 2026.</t>
  </si>
  <si>
    <t>KEY AREAS</t>
  </si>
  <si>
    <t>gsf</t>
  </si>
  <si>
    <t>Seven enclosed floors from the floor area model (see the formula row below).</t>
  </si>
  <si>
    <t>Cellar</t>
  </si>
  <si>
    <t>Full lot footprint (25 x 120 ft with the 30 ft wide rear 20 ft), less the lot-line offsets.</t>
  </si>
  <si>
    <t>Cellar depth</t>
  </si>
  <si>
    <t>ft</t>
  </si>
  <si>
    <t>Cellar floor-to-floor, from the model. Used for the excavation volume.</t>
  </si>
  <si>
    <t>Commercial at grade (1st floor), sellable</t>
  </si>
  <si>
    <t>Model: sellable commercial on the 1st floor (2,344 gross less the lobby, core, corridor and 450 sf parking/loading).</t>
  </si>
  <si>
    <t>Net sellable residential</t>
  </si>
  <si>
    <t>Total of the unit mix below (offering-plan sf from the model).</t>
  </si>
  <si>
    <t>Common areas and core</t>
  </si>
  <si>
    <t>Gross above grade less residential and commercial sellable, less 450 sf parking: lobby, corridors, core, light-well walls and mechanical.</t>
  </si>
  <si>
    <t>Total of the unit mix below.</t>
  </si>
  <si>
    <t>Outer perimeter, all floors above grade</t>
  </si>
  <si>
    <t>Lf</t>
  </si>
  <si>
    <t>Model: 1st 239, 2nd 299, 4th-6th 230 each, 7th 212, 8th 171 Lf, plus about 40 Lf of light-well walls on floors 4-8.</t>
  </si>
  <si>
    <t>Rated walls around units</t>
  </si>
  <si>
    <t>Estimate: about 75 Lf of corridor and demising wall on each of floors 4-7, 30 Lf on the full-floor penthouse (8).</t>
  </si>
  <si>
    <t>Gross floor area above grade (formula)</t>
  </si>
  <si>
    <t>Model: 1st 2,344 + 2nd 3,060 + 4th 2,035 + 5th 2,023 + 6th 2,020 + 7th 1,728 + 8th 1,308. The 3rd floor has no enclosed gross area in the model (2,467 sf common terrace and an amenity room).</t>
  </si>
  <si>
    <t>Street, rear and light-well wall area</t>
  </si>
  <si>
    <t>Street wall about 2,100 sf (to the 65 ft base plus the setback walls), rear walls about 1,900 sf, light-well walls about 1,500 sf.</t>
  </si>
  <si>
    <t>Model: 1,556 sf commercial plus 301 sf community facility in the cellar, sold with the commercial condo. Not zoning floor area.</t>
  </si>
  <si>
    <t>Stories above grade</t>
  </si>
  <si>
    <t>floors</t>
  </si>
  <si>
    <t>Ground + 7, counting the 3rd-floor terrace level. Private roof above, no elevator stop there.</t>
  </si>
  <si>
    <t>Dormers</t>
  </si>
  <si>
    <t>Model: one 7th-floor dormer in the street setback, 12'-4" x 6'-4" (ZR 23-413).</t>
  </si>
  <si>
    <t>Glazing share of street-facing wall</t>
  </si>
  <si>
    <t>%</t>
  </si>
  <si>
    <t>A modest glass ratio is the cheapest way to meet the ULEB energy target that Zone Green needs.</t>
  </si>
  <si>
    <t>Hard-cost sensitivity adjustment</t>
  </si>
  <si>
    <t>Normally 0%. Scales the hard cost up or down, for testing (the OM sensitivity table uses it). Applies to the owner budget too.</t>
  </si>
  <si>
    <t>Commercial, 2nd floor, sellable</t>
  </si>
  <si>
    <t>Model: the full 2nd floor (3,060 gross less the 444 sf rear terrace).</t>
  </si>
  <si>
    <t>Owner's hard-cost budget</t>
  </si>
  <si>
    <t>$ / gsf</t>
  </si>
  <si>
    <t>Owner, Oct 2026: $450 per gross sf, all in (trades, general conditions, fee and contingency).</t>
  </si>
  <si>
    <t>Area the owner's $ / gsf applies to</t>
  </si>
  <si>
    <t>Gross above grade, the same basis as the 725 Grand $ / gsf measure. Owner to confirm: to include the 3,060 sf cellar, change this to =$C$6+$C$7 (+$1.38M).</t>
  </si>
  <si>
    <t>Use the owner's budget (1) or the line items (0)</t>
  </si>
  <si>
    <t>1: total hard cost = owner's budget; the line items stay as the detail and the gap goes on the adjustment line. 0: line items only.</t>
  </si>
  <si>
    <t>UNIT MIX</t>
  </si>
  <si>
    <t>Unit type</t>
  </si>
  <si>
    <t>Units</t>
  </si>
  <si>
    <t>Net sf per unit</t>
  </si>
  <si>
    <t>Partitions per unit (Lf)</t>
  </si>
  <si>
    <t>Interior doors per unit</t>
  </si>
  <si>
    <t>Baths per unit</t>
  </si>
  <si>
    <t>Affordable 1-bedroom, floor 4 (4F), for sale</t>
  </si>
  <si>
    <t>Affordable homeownership unit. Street side.</t>
  </si>
  <si>
    <t>1-bedroom, rear, floors 4-7 (4R, 5R, 6R, 7R)</t>
  </si>
  <si>
    <t>Model: 714, 719, 719 and 723 sf; each with a rear balcony.</t>
  </si>
  <si>
    <t>2-bedroom, street, floors 5-6 (5F, 6F)</t>
  </si>
  <si>
    <t>Two baths.</t>
  </si>
  <si>
    <t>Studio with street terrace, floor 7 (7F)</t>
  </si>
  <si>
    <t>292 sf private terrace on the 15 ft setback.</t>
  </si>
  <si>
    <t>Full-floor penthouse, floor 8, 2 bedrooms + private roof</t>
  </si>
  <si>
    <t>Setback terrace and balcony (431 sf) plus a 1,505 sf private roof by a private stair.</t>
  </si>
  <si>
    <t>Units, total sellable sf, partition Lf, interior doors and baths. No duplex or mezzanine units.</t>
  </si>
  <si>
    <t>ZONING FLOOR AREA CHECK</t>
  </si>
  <si>
    <t>Lot area, 246 South 2nd Street</t>
  </si>
  <si>
    <t>25 x 120 ft; the rear 20 ft is 30 ft wide. From the model.</t>
  </si>
  <si>
    <t>Total floor area ratio (R6 with qualifying affordable housing)</t>
  </si>
  <si>
    <t>FAR</t>
  </si>
  <si>
    <t>Model zoning input. Counsel to confirm.</t>
  </si>
  <si>
    <t>Maximum zoning floor area, all uses</t>
  </si>
  <si>
    <t>Market-rate residential floor area ratio</t>
  </si>
  <si>
    <t>Model zoning input.</t>
  </si>
  <si>
    <t>Market-rate residential allowed</t>
  </si>
  <si>
    <t>Zone Green (ULEB) exclusion, taken off residential</t>
  </si>
  <si>
    <t>Model: 5% of the 12,538 sf zoning floor area above grade. Needs an ultra low energy (Passive House level) building; without it the 5% is lost.</t>
  </si>
  <si>
    <t>Counted: market-rate residential, after the exclusion</t>
  </si>
  <si>
    <t>Model, floors 4-8 plus the core on the 1st floor.</t>
  </si>
  <si>
    <t>Counted: affordable residential (unit 4F)</t>
  </si>
  <si>
    <t>Model. The affordable allowance input in the model is 700 sf, so its residential cap reads 157 sf over; confirm the affordable floor area rule.</t>
  </si>
  <si>
    <t>Counted: commercial, 1st and 2nd floors</t>
  </si>
  <si>
    <t>Model: 1st floor 1,174 + 2nd floor 3,060.</t>
  </si>
  <si>
    <t>Commercial allowed (2.0 FAR)</t>
  </si>
  <si>
    <t>Floor area counted for zoning, this design</t>
  </si>
  <si>
    <t>Matches the model total, 11,911 sf.</t>
  </si>
  <si>
    <t>Room left under the total</t>
  </si>
  <si>
    <t>Unused floor area: about 2,969 sf, limited by the residential caps, height and the rear yard.</t>
  </si>
  <si>
    <t>Check: total floor area</t>
  </si>
  <si>
    <t>Check: market-rate residential</t>
  </si>
  <si>
    <t>Counted is after the Zone Green exclusion.</t>
  </si>
  <si>
    <t>Check: commercial</t>
  </si>
  <si>
    <t>Building height</t>
  </si>
  <si>
    <t>Model: cellar excluded; 13'-11" + 11 ft + six 10 ft floors = 84'-11".</t>
  </si>
  <si>
    <t>Height limit</t>
  </si>
  <si>
    <t>R6 qualifying affordable housing, narrow street (ZR 23-432, 23-433); 65 ft base, 15 ft setback. Counsel to confirm.</t>
  </si>
  <si>
    <t>Check: height</t>
  </si>
  <si>
    <t>Group</t>
  </si>
  <si>
    <t>Quantity</t>
  </si>
  <si>
    <t>% of hard</t>
  </si>
  <si>
    <t>cy</t>
  </si>
  <si>
    <t>$ / cy</t>
  </si>
  <si>
    <t>Cellar area × depth ÷ 27.</t>
  </si>
  <si>
    <t>Depends on the water table; confirm with the geotechnical report.</t>
  </si>
  <si>
    <t>$ / Lf</t>
  </si>
  <si>
    <t>Survey: #242 (6-story) along the west lot line from 18.4 ft, #248 (1-story buildings) along the east lot line from 20 ft.</t>
  </si>
  <si>
    <t>Full cellar perimeter. Check with the structural engineer for an 8-story load.</t>
  </si>
  <si>
    <t>None carried: confirm what stands on the lot today and add its area here at $30/sf.</t>
  </si>
  <si>
    <t>Lf of perimeter</t>
  </si>
  <si>
    <t>Owner's $100/Lf on the summed outer perimeter, scaled by building height over a 10 ft-per-floor baseline.</t>
  </si>
  <si>
    <t>One structural slab per floor, on gross floor area above grade.</t>
  </si>
  <si>
    <t>None: mechanical in the cellar (343 sf) and in-unit closets; the roof is private outdoor space.</t>
  </si>
  <si>
    <t>Substructure and shell subtotal</t>
  </si>
  <si>
    <t>sf of window</t>
  </si>
  <si>
    <t>Area = street wall × glazing share.</t>
  </si>
  <si>
    <t>sf of wall</t>
  </si>
  <si>
    <t>Continuous exterior insulation and a sealed air barrier.</t>
  </si>
  <si>
    <t>Both side lot lines, floors 1-8 at their heights (11,670 sf), less the light well on the west lot line (about 1,000 sf).</t>
  </si>
  <si>
    <t>each</t>
  </si>
  <si>
    <t>$ each</t>
  </si>
  <si>
    <t>Main roof 1,505 + 3rd-floor common terrace 2,467 + 2nd-floor rear terrace 444 + 7th and 8th-floor terraces 637 sf.</t>
  </si>
  <si>
    <t>NYC Local Laws 92 and 94 require solar or a green roof on new roofs.</t>
  </si>
  <si>
    <t>Envelope subtotal</t>
  </si>
  <si>
    <t>stops</t>
  </si>
  <si>
    <t>$ / stop</t>
  </si>
  <si>
    <t>Cellar plus 8 floors; no stop at the private roof.</t>
  </si>
  <si>
    <t>levels</t>
  </si>
  <si>
    <t>$ / level</t>
  </si>
  <si>
    <t>Same number of levels as elevator stops.</t>
  </si>
  <si>
    <t>Owner's rate: $30,000 per unit, not including heating and cooling.</t>
  </si>
  <si>
    <t>All-electric, no gas (NYC Local Law 154).</t>
  </si>
  <si>
    <t>Part of meeting the ULEB energy target.</t>
  </si>
  <si>
    <t>Confirm with the MEP engineer for 9 units and the commercial floors.</t>
  </si>
  <si>
    <t>Tenant fit-out not included.</t>
  </si>
  <si>
    <t>Whole building including cellar.</t>
  </si>
  <si>
    <t>Core and systems subtotal</t>
  </si>
  <si>
    <t>Rated metal stud and gypsum around every unit.</t>
  </si>
  <si>
    <t>Unit mix × partitions per unit.</t>
  </si>
  <si>
    <t>doors</t>
  </si>
  <si>
    <t>Unit mix × doors per unit.</t>
  </si>
  <si>
    <t>net sf</t>
  </si>
  <si>
    <t>Owner's rate.</t>
  </si>
  <si>
    <t>kitchens</t>
  </si>
  <si>
    <t>Owner, Oct 18 2026: cabinets and counters, split out of the old $30,000 kitchen line.</t>
  </si>
  <si>
    <t>Induction range, refrigerator, dishwasher, hood and microwave; all-electric.</t>
  </si>
  <si>
    <t>baths</t>
  </si>
  <si>
    <t>From the unit mix; a powder room counts as half.</t>
  </si>
  <si>
    <t>Private stair from the 8th-floor penthouse to its roof, with a hatch or bulkhead.</t>
  </si>
  <si>
    <t>White-box finish for the below-grade space; tenants do their own fit-out.</t>
  </si>
  <si>
    <t>A second means of egress and separation to occupy the cellar.</t>
  </si>
  <si>
    <t>Model: private terraces and balconies 996 sf, PH private roof 1,505 sf, 3rd-floor common terrace 2,467 sf, 2nd-floor rear terrace 444 sf.</t>
  </si>
  <si>
    <t>Fit-out subtotal</t>
  </si>
  <si>
    <t>Lf frontage</t>
  </si>
  <si>
    <t>South 2nd Street frontage.</t>
  </si>
  <si>
    <t>None carried: confirm whether the lot has an E-designation; any cleanup from contingency.</t>
  </si>
  <si>
    <t>Site and general subtotal</t>
  </si>
  <si>
    <t>Trade costs before general conditions</t>
  </si>
  <si>
    <t>$ of trade</t>
  </si>
  <si>
    <t>% of trade</t>
  </si>
  <si>
    <t>Contractor's site overhead (supervision, temporary facilities, insurance) plus fee.</t>
  </si>
  <si>
    <t>Trade costs, general conditions and fee</t>
  </si>
  <si>
    <t>Premiums</t>
  </si>
  <si>
    <t>ULEB detailing: air barrier and insulation</t>
  </si>
  <si>
    <t>$ of trade + GC</t>
  </si>
  <si>
    <t>% of trade + GC</t>
  </si>
  <si>
    <t>Was 3%. Cut to 1% now that heat pumps, ERVs, water heaters, windows and wall are their own lines. Covers air-barrier and insulation detailing to meet the ULEB energy target, without Passive House certification or testing.</t>
  </si>
  <si>
    <t>Hard-cost contingency</t>
  </si>
  <si>
    <t>$ of all above</t>
  </si>
  <si>
    <t>% of all above</t>
  </si>
  <si>
    <t>Owner's contingency for unknowns during construction.</t>
  </si>
  <si>
    <t>Adjustment to the owner's budget</t>
  </si>
  <si>
    <t>Owner's $/gsf budget less the line items above; 0 when the line items are used. Spread pro rata over the draw schedule.</t>
  </si>
  <si>
    <t>TOTAL HARD COST</t>
  </si>
  <si>
    <t>HARD COST MEASURES</t>
  </si>
  <si>
    <t>Per gsf above grade</t>
  </si>
  <si>
    <t>Per gsf including cellar</t>
  </si>
  <si>
    <t>Per net sellable residential sf</t>
  </si>
  <si>
    <t>Per condo unit</t>
  </si>
  <si>
    <t>Line items before the owner adjustment</t>
  </si>
  <si>
    <t>Line items per gsf above grade</t>
  </si>
  <si>
    <t>Base (Oct 18 2026): 246 South 2nd Street on its own 3,100 sf lot in R6 with a commercial overlay: 8 stories at 85 ft (13'-11" ground floor, 11 ft 2nd floor, 10 ft above), plus a cellar and a private roof. 9 condos (8 market-rate and one affordable homeownership unit), 6,879 sellable sf; commercial on the 1st and 2nd floors (4,333 sf sellable) plus 1,857 sf in the cellar; Zone Green (ULEB) 5% exclusion; no air rights or certificates; all-electric.</t>
  </si>
  <si>
    <t>Not included: tenant fit-out of the commercial space, furniture, land, soft costs and financing (see the Soft Costs sheet).</t>
  </si>
  <si>
    <t>246 South 2nd Street · Soft Cost Budget</t>
  </si>
  <si>
    <t>Base: section 1 is the land (acquisition, kept apart from the soft-cost totals); section 2 is construction-period soft costs; section 3 is sponsor wind-down. 8 stories at 85 ft, 9 condos plus a commercial condo, no air rights or certificates.</t>
  </si>
  <si>
    <t>Blue cells are inputs: change them and every total updates. Black cells are formulas. Rates carry over from the 725 Grand budget unless noted. Every figure is a planning placeholder to be verified.</t>
  </si>
  <si>
    <t>KEY INPUTS</t>
  </si>
  <si>
    <t>Linked to the total on the Hard Costs sheet (green = link). Drives the development fee and the warranty reserve.</t>
  </si>
  <si>
    <t>Land purchase price, 246 South 2nd</t>
  </si>
  <si>
    <t>Owner, Oct 2026: $4,000,000.</t>
  </si>
  <si>
    <t xml:space="preserve">Linked to the Hard Costs sheet (green). </t>
  </si>
  <si>
    <t>Gross floor area including cellar</t>
  </si>
  <si>
    <t>Basis for design and inspection fees.</t>
  </si>
  <si>
    <t>Linked to the Finance sheet (green). Purchase to final unit closing.</t>
  </si>
  <si>
    <t>Construction period</t>
  </si>
  <si>
    <t>Linked to the Finance sheet (green). Ground-breaking to completion (TCO). Placeholder until the Gantt chart sets it. Drives builder's risk and construction-period liability insurance.</t>
  </si>
  <si>
    <t>Owner tax-holding period</t>
  </si>
  <si>
    <t>Purchase until the condo plan is effective and taxes pass to the condominium. Set to your expected date; 36 months is conservative.</t>
  </si>
  <si>
    <t>Construction loan amount</t>
  </si>
  <si>
    <t>Linked to the Finance sheet (green). Deck model: 70% of total project cost. Basis for the mortgage recording tax.</t>
  </si>
  <si>
    <t>Inclusionary Housing certificates purchased</t>
  </si>
  <si>
    <t>None: the affordable floor area is the on-site affordable unit (4F).</t>
  </si>
  <si>
    <t>Section</t>
  </si>
  <si>
    <t>In deck model?</t>
  </si>
  <si>
    <t>1 · ACQUISITION: LAND (shown apart from the soft costs)</t>
  </si>
  <si>
    <t>Acquisition</t>
  </si>
  <si>
    <t>Land purchase, 246 South 2nd</t>
  </si>
  <si>
    <t>$ price</t>
  </si>
  <si>
    <t>% of price</t>
  </si>
  <si>
    <t>Yes</t>
  </si>
  <si>
    <t>Owner: $4.0M. Change it in the key inputs above. Paid at closing.</t>
  </si>
  <si>
    <t>No</t>
  </si>
  <si>
    <t>TOTAL ACQUISITION</t>
  </si>
  <si>
    <t>2 · CONSTRUCTION-PERIOD SOFT COSTS</t>
  </si>
  <si>
    <t>Architecture, structural and MEP engineering</t>
  </si>
  <si>
    <t>Owner's 725 Grand figure carried over. Architect of record plus structural, MEP and fire protection engineering through construction administration; the owner's in-house design keeps it below a full-service fee.</t>
  </si>
  <si>
    <t>Interior design</t>
  </si>
  <si>
    <t>Owner's figure, Oct 2026. The deck model has no interior design line yet.</t>
  </si>
  <si>
    <t>Expediting, DOB and utility filing fees</t>
  </si>
  <si>
    <t>Owner's figure, Oct 2026.</t>
  </si>
  <si>
    <t>Surveys, controlled and special inspections</t>
  </si>
  <si>
    <t>Phase I environmental report</t>
  </si>
  <si>
    <t>Owner, Oct 2026: site not expected to be contaminated; a Phase I is the only investigation budgeted.</t>
  </si>
  <si>
    <t>Environmental filings (OER), if the lot has an E-designation</t>
  </si>
  <si>
    <t>None carried: confirm on ZoLa whether 246 South 2nd has an E-designation.</t>
  </si>
  <si>
    <t>Energy consultant: energy model, ULEB filing and commissioning</t>
  </si>
  <si>
    <t>Documents the ULEB energy target that the 5% Zone Green exclusion needs (Passive House level performance); energy model and commissioning.</t>
  </si>
  <si>
    <t>Builder's risk insurance</t>
  </si>
  <si>
    <t>$ / year</t>
  </si>
  <si>
    <t>Property cover for the building under construction, for the construction period. Placeholder: get a quote.</t>
  </si>
  <si>
    <t>General liability insurance during construction</t>
  </si>
  <si>
    <t>Owner, Oct 15 2026: $125,000/yr covered both builder's risk and GL on a smaller project seven years ago; NYC liability rates have risen sharply since. If the GC's own liability policy is billed in general conditions, check this is not counted twice.</t>
  </si>
  <si>
    <t>Owner's property and liability insurance after completion</t>
  </si>
  <si>
    <t>From completion until the condo plan is effective and units close (project length less construction period). Placeholder: get a quote.</t>
  </si>
  <si>
    <t>Real estate taxes during the owner holding period</t>
  </si>
  <si>
    <t>725 Grand's $67,000 a year carried over as a placeholder: replace with 246 South 2nd's DOF bill.</t>
  </si>
  <si>
    <t>Legal: acquisition and loan</t>
  </si>
  <si>
    <t>No zoning lot merger, air-rights or easement agreements.</t>
  </si>
  <si>
    <t>Offering plan (AG filing) and sponsor legal</t>
  </si>
  <si>
    <t>Condominium with 9 residential units and the commercial condo; includes the affordable unit sale documents.</t>
  </si>
  <si>
    <t>Title insurance and recording, land purchase</t>
  </si>
  <si>
    <t>Development fee</t>
  </si>
  <si>
    <t>$ hard cost</t>
  </si>
  <si>
    <t>Sponsor's fee.</t>
  </si>
  <si>
    <t>Marketing, branding and sales center</t>
  </si>
  <si>
    <t>Appraisal, lender inspections and loan closing</t>
  </si>
  <si>
    <t>Loan origination fee and interest are financing costs, not included here.</t>
  </si>
  <si>
    <t>Subtotal before contingency</t>
  </si>
  <si>
    <t>Soft-cost contingency</t>
  </si>
  <si>
    <t>$ of above</t>
  </si>
  <si>
    <t>% of above</t>
  </si>
  <si>
    <t>Construction soft costs before recording tax</t>
  </si>
  <si>
    <t>$ loan</t>
  </si>
  <si>
    <t>% of loan</t>
  </si>
  <si>
    <t>NYC + NYS tax on recording the construction mortgage. 2.8% is the usual rate for a loan this size on this property type; confirm with counsel. Not in the deck model.</t>
  </si>
  <si>
    <t>TOTAL CONSTRUCTION SOFT COSTS</t>
  </si>
  <si>
    <t>3 · SPONSOR WIND-DOWN AND DISSOLUTION</t>
  </si>
  <si>
    <t>Wind-down</t>
  </si>
  <si>
    <t>Condo board turnover: transition engineer report and records</t>
  </si>
  <si>
    <t>Warranty and punch-list reserve</t>
  </si>
  <si>
    <t>Held back for post-closing repairs and claims before distributing profit.</t>
  </si>
  <si>
    <t>Final audit, final tax returns and K-1s</t>
  </si>
  <si>
    <t>Entity dissolution filings and legal</t>
  </si>
  <si>
    <t>Wind-down subtotal</t>
  </si>
  <si>
    <t>TOTAL SOFT COSTS, ALL SECTIONS</t>
  </si>
  <si>
    <t>MEASURES AND CHECKS</t>
  </si>
  <si>
    <t>Construction soft costs as % of hard cost</t>
  </si>
  <si>
    <t>Construction soft costs per unit</t>
  </si>
  <si>
    <t>Not included: land price, hard costs, construction loan interest and origination fee, equity returns, and taxes and common charges on unsold units after the condo plan is effective (the sponsor share, outside this underwriting).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</si>
</sst>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quot;-&quot;"/>
    <numFmt numFmtId="165" formatCode="&quot;$&quot;#,##0;\(&quot;$&quot;#,##0\);&quot;-&quot;"/>
    <numFmt numFmtId="166" formatCode="0.0%;\(0.0%\);&quot;-&quot;"/>
    <numFmt numFmtId="167" formatCode="&quot;$&quot;#,##0.00;\(&quot;$&quot;#,##0.00\);&quot;-&quot;"/>
    <numFmt numFmtId="168" formatCode="#,##0.0;\(#,##0.0\);&quot;-&quot;"/>
    <numFmt numFmtId="169" formatCode="0.000%;\(0.000%\);&quot;-&quot;"/>
    <numFmt numFmtId="170" formatCode="0.00&quot;x&quot;"/>
    <numFmt numFmtId="171" formatCode="0;\-0;&quot;-&quot;"/>
    <numFmt numFmtId="172" formatCode="&quot;$&quot;#,##0,&quot;K&quot;;\-&quot;$&quot;#,##0,&quot;K&quot;;&quot;&quot;"/>
    <numFmt numFmtId="173" formatCode=";;;"/>
    <numFmt numFmtId="174" formatCode="mmm\ yy"/>
    <numFmt numFmtId="175" formatCode="0.0"/>
  </numFmts>
  <fonts count="11" x14ac:knownFonts="1">
    <font>
      <sz val="10"/>
      <color rgb="FF000000"/>
      <name val="Arial"/>
      <family val="2"/>
    </font>
    <font>
      <sz val="10"/>
      <color rgb="FF0000FF"/>
      <name val="Arial"/>
      <family val="2"/>
    </font>
    <font>
      <b/>
      <sz val="10"/>
      <color rgb="FF000000"/>
      <name val="Arial"/>
      <family val="2"/>
    </font>
    <font>
      <b/>
      <sz val="14"/>
      <color rgb="FF24365C"/>
      <name val="Arial"/>
      <family val="2"/>
    </font>
    <font>
      <i/>
      <sz val="9"/>
      <color rgb="FF555F66"/>
      <name val="Arial"/>
      <family val="2"/>
    </font>
    <font>
      <b/>
      <sz val="10"/>
      <color rgb="FFFFFFFF"/>
      <name val="Arial"/>
      <family val="2"/>
    </font>
    <font>
      <b/>
      <sz val="10"/>
      <color rgb="FF2E6984"/>
      <name val="Arial"/>
      <family val="2"/>
    </font>
    <font>
      <sz val="10"/>
      <color rgb="FF008000"/>
      <name val="Arial"/>
      <family val="2"/>
    </font>
    <font>
      <sz val="10"/>
      <color rgb="FF0000FF"/>
      <name val="Arial"/>
    </font>
    <font>
      <sz val="10"/>
      <color rgb="FF000000"/>
      <name val="Arial"/>
    </font>
    <font>
      <sz val="10"/>
      <color rgb="FF008000"/>
      <name val="Arial"/>
    </font>
  </fonts>
  <fills count="6">
    <fill>
      <patternFill patternType="none"/>
    </fill>
    <fill>
      <patternFill patternType="gray125"/>
    </fill>
    <fill>
      <patternFill patternType="solid">
        <fgColor rgb="FF24365C"/>
        <bgColor indexed="64"/>
      </patternFill>
    </fill>
    <fill>
      <patternFill patternType="solid">
        <fgColor rgb="FFE4E7EB"/>
        <bgColor indexed="64"/>
      </patternFill>
    </fill>
    <fill>
      <patternFill patternType="solid">
        <fgColor rgb="FFFFF2CC"/>
        <bgColor indexed="64"/>
      </patternFill>
    </fill>
    <fill>
      <patternFill patternType="solid">
        <fgColor rgb="FFDCE3EA"/>
        <bgColor indexed="64"/>
      </patternFill>
    </fill>
  </fills>
  <borders count="3">
    <border>
      <left/>
      <right/>
      <top/>
      <bottom/>
      <diagonal/>
    </border>
    <border>
      <left/>
      <right/>
      <top/>
      <bottom style="thin">
        <color rgb="FFCDD3DA"/>
      </bottom>
      <diagonal/>
    </border>
    <border>
      <left/>
      <right/>
      <top style="medium">
        <color rgb="FF24365C"/>
      </top>
      <bottom style="medium">
        <color rgb="FF24365C"/>
      </bottom>
      <diagonal/>
    </border>
  </borders>
  <cellStyleXfs count="1">
    <xf numFmtId="0" fontId="0" fillId="0" borderId="0"/>
  </cellStyleXfs>
  <cellXfs count="48">
    <xf numFmtId="0" fontId="0" fillId="0" borderId="0" xfId="0"/>
    <xf numFmtId="0" fontId="3" fillId="0" borderId="0" xfId="0" applyFont="1"/>
    <xf numFmtId="0" fontId="4" fillId="0" borderId="0" xfId="0" applyFont="1"/>
    <xf numFmtId="0" fontId="5" fillId="2" borderId="0" xfId="0" applyFont="1" applyFill="1" applyAlignment="1">
      <alignment vertical="center" wrapText="1"/>
    </xf>
    <xf numFmtId="0" fontId="0" fillId="0" borderId="1" xfId="0" applyBorder="1" applyAlignment="1">
      <alignment vertical="top" wrapText="1"/>
    </xf>
    <xf numFmtId="0" fontId="2" fillId="0" borderId="0" xfId="0" applyFont="1"/>
    <xf numFmtId="164" fontId="1" fillId="0" borderId="1" xfId="0" applyNumberFormat="1" applyFont="1" applyBorder="1" applyAlignment="1">
      <alignment vertical="top"/>
    </xf>
    <xf numFmtId="165" fontId="1" fillId="0" borderId="1" xfId="0" applyNumberFormat="1" applyFont="1" applyBorder="1" applyAlignment="1">
      <alignment vertical="top"/>
    </xf>
    <xf numFmtId="166" fontId="1" fillId="0" borderId="1" xfId="0" applyNumberFormat="1" applyFont="1" applyBorder="1" applyAlignment="1">
      <alignment vertical="top"/>
    </xf>
    <xf numFmtId="165" fontId="0" fillId="0" borderId="1" xfId="0" applyNumberFormat="1" applyBorder="1" applyAlignment="1">
      <alignment vertical="top"/>
    </xf>
    <xf numFmtId="164" fontId="0" fillId="0" borderId="1" xfId="0" applyNumberFormat="1" applyBorder="1" applyAlignment="1">
      <alignment vertical="top"/>
    </xf>
    <xf numFmtId="166" fontId="0" fillId="0" borderId="1" xfId="0" applyNumberFormat="1" applyBorder="1" applyAlignment="1">
      <alignment vertical="top"/>
    </xf>
    <xf numFmtId="0" fontId="2" fillId="3" borderId="0" xfId="0" applyFont="1" applyFill="1"/>
    <xf numFmtId="165" fontId="2" fillId="3" borderId="0" xfId="0" applyNumberFormat="1" applyFont="1" applyFill="1"/>
    <xf numFmtId="0" fontId="0" fillId="3" borderId="0" xfId="0" applyFill="1"/>
    <xf numFmtId="0" fontId="2" fillId="4" borderId="2" xfId="0" applyFont="1" applyFill="1" applyBorder="1"/>
    <xf numFmtId="165" fontId="2" fillId="4" borderId="2" xfId="0" applyNumberFormat="1" applyFont="1" applyFill="1" applyBorder="1"/>
    <xf numFmtId="167" fontId="1" fillId="0" borderId="1" xfId="0" applyNumberFormat="1" applyFont="1" applyBorder="1" applyAlignment="1">
      <alignment vertical="top"/>
    </xf>
    <xf numFmtId="0" fontId="6" fillId="0" borderId="0" xfId="0" applyFont="1"/>
    <xf numFmtId="0" fontId="4" fillId="0" borderId="1" xfId="0" applyFont="1" applyBorder="1" applyAlignment="1">
      <alignment vertical="top" wrapText="1"/>
    </xf>
    <xf numFmtId="166" fontId="2" fillId="3" borderId="0" xfId="0" applyNumberFormat="1" applyFont="1" applyFill="1"/>
    <xf numFmtId="166" fontId="2" fillId="4" borderId="2" xfId="0" applyNumberFormat="1" applyFont="1" applyFill="1" applyBorder="1"/>
    <xf numFmtId="168" fontId="1" fillId="0" borderId="1" xfId="0" applyNumberFormat="1" applyFont="1" applyBorder="1" applyAlignment="1">
      <alignment vertical="top"/>
    </xf>
    <xf numFmtId="168" fontId="0" fillId="0" borderId="1" xfId="0" applyNumberFormat="1" applyBorder="1" applyAlignment="1">
      <alignment vertical="top"/>
    </xf>
    <xf numFmtId="0" fontId="6" fillId="5" borderId="0" xfId="0" applyFont="1" applyFill="1"/>
    <xf numFmtId="169" fontId="1" fillId="0" borderId="1" xfId="0" applyNumberFormat="1" applyFont="1" applyBorder="1" applyAlignment="1">
      <alignment vertical="top"/>
    </xf>
    <xf numFmtId="165" fontId="7" fillId="0" borderId="1" xfId="0" applyNumberFormat="1" applyFont="1" applyBorder="1" applyAlignment="1">
      <alignment vertical="top"/>
    </xf>
    <xf numFmtId="170" fontId="0" fillId="0" borderId="1" xfId="0" applyNumberFormat="1" applyBorder="1" applyAlignment="1">
      <alignment vertical="top"/>
    </xf>
    <xf numFmtId="164" fontId="7" fillId="0" borderId="1" xfId="0" applyNumberFormat="1" applyFont="1" applyBorder="1" applyAlignment="1">
      <alignment vertical="top"/>
    </xf>
    <xf numFmtId="171" fontId="5" fillId="2" borderId="0" xfId="0" applyNumberFormat="1" applyFont="1" applyFill="1" applyAlignment="1">
      <alignment horizontal="center"/>
    </xf>
    <xf numFmtId="0" fontId="4" fillId="0" borderId="0" xfId="0" applyFont="1" applyAlignment="1">
      <alignment horizontal="center"/>
    </xf>
    <xf numFmtId="166" fontId="7" fillId="0" borderId="1" xfId="0" applyNumberFormat="1" applyFont="1" applyBorder="1" applyAlignment="1">
      <alignment vertical="top"/>
    </xf>
    <xf numFmtId="164" fontId="1" fillId="4" borderId="1" xfId="0" applyNumberFormat="1" applyFont="1" applyFill="1" applyBorder="1" applyAlignment="1">
      <alignment vertical="top"/>
    </xf>
    <xf numFmtId="164" fontId="0" fillId="4" borderId="1" xfId="0" applyNumberFormat="1" applyFill="1" applyBorder="1" applyAlignment="1">
      <alignment vertical="top"/>
    </xf>
    <xf numFmtId="166" fontId="0" fillId="4" borderId="1" xfId="0" applyNumberFormat="1" applyFill="1" applyBorder="1" applyAlignment="1">
      <alignment vertical="top"/>
    </xf>
    <xf numFmtId="172" fontId="0" fillId="0" borderId="1" xfId="0" applyNumberFormat="1" applyBorder="1" applyAlignment="1">
      <alignment horizontal="center"/>
    </xf>
    <xf numFmtId="173" fontId="0" fillId="0" borderId="1" xfId="0" applyNumberFormat="1" applyBorder="1"/>
    <xf numFmtId="174" fontId="5" fillId="2" borderId="0" xfId="0" applyNumberFormat="1" applyFont="1" applyFill="1" applyAlignment="1">
      <alignment horizontal="center" textRotation="90"/>
    </xf>
    <xf numFmtId="0" fontId="2" fillId="0" borderId="1" xfId="0" applyFont="1" applyBorder="1" applyAlignment="1">
      <alignment horizontal="center"/>
    </xf>
    <xf numFmtId="174" fontId="1" fillId="0" borderId="1" xfId="0" applyNumberFormat="1" applyFont="1" applyBorder="1"/>
    <xf numFmtId="164" fontId="8" fillId="0" borderId="1" xfId="0" applyNumberFormat="1" applyFont="1" applyBorder="1" applyAlignment="1">
      <alignment vertical="top"/>
    </xf>
    <xf numFmtId="165" fontId="8" fillId="0" borderId="1" xfId="0" applyNumberFormat="1" applyFont="1" applyBorder="1" applyAlignment="1">
      <alignment vertical="top"/>
    </xf>
    <xf numFmtId="164" fontId="10" fillId="0" borderId="1" xfId="0" applyNumberFormat="1" applyFont="1" applyBorder="1" applyAlignment="1">
      <alignment vertical="top"/>
    </xf>
    <xf numFmtId="164" fontId="8" fillId="4" borderId="1" xfId="0" applyNumberFormat="1" applyFont="1" applyFill="1" applyBorder="1" applyAlignment="1">
      <alignment vertical="top"/>
    </xf>
    <xf numFmtId="165" fontId="8" fillId="4" borderId="1" xfId="0" applyNumberFormat="1" applyFont="1" applyFill="1" applyBorder="1" applyAlignment="1">
      <alignment vertical="top"/>
    </xf>
    <xf numFmtId="164" fontId="9" fillId="4" borderId="1" xfId="0" applyNumberFormat="1" applyFont="1" applyFill="1" applyBorder="1" applyAlignment="1">
      <alignment vertical="top"/>
    </xf>
    <xf numFmtId="1" fontId="8" fillId="4" borderId="1" xfId="0" applyNumberFormat="1" applyFont="1" applyFill="1" applyBorder="1" applyAlignment="1">
      <alignment vertical="top"/>
    </xf>
    <xf numFmtId="175" fontId="1" fillId="0" borderId="1" xfId="0" applyNumberFormat="1" applyFont="1" applyBorder="1" applyAlignment="1">
      <alignment vertical="top"/>
    </xf>
  </cellXfs>
  <cellStyles count="1">
    <cellStyle name="Normal" xfId="0" builtinId="0"/>
  </cellStyles>
  <dxfs count="4">
    <dxf>
      <font>
        <b/>
        <color rgb="FF24365C"/>
      </font>
      <fill>
        <patternFill patternType="solid">
          <fgColor rgb="FFF3E3D8"/>
          <bgColor rgb="FFF3E3D8"/>
        </patternFill>
      </fill>
    </dxf>
    <dxf>
      <font>
        <color rgb="FFFFFFFF"/>
      </font>
      <fill>
        <patternFill patternType="solid">
          <fgColor rgb="FF2E6984"/>
          <bgColor rgb="FF2E6984"/>
        </patternFill>
      </fill>
    </dxf>
    <dxf>
      <font>
        <color rgb="FFFFFFFF"/>
      </font>
      <fill>
        <patternFill patternType="solid">
          <fgColor rgb="FF2E6984"/>
          <bgColor rgb="FF2E6984"/>
        </patternFill>
      </fill>
    </dxf>
    <dxf>
      <font>
        <color rgb="FFFFFFFF"/>
      </font>
      <fill>
        <patternFill patternType="solid">
          <fgColor rgb="FF2E6984"/>
          <bgColor rgb="FF2E698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71"/>
  <sheetViews>
    <sheetView showGridLines="0" tabSelected="1" workbookViewId="0"/>
  </sheetViews>
  <sheetFormatPr defaultRowHeight="12.5" x14ac:dyDescent="0.25"/>
  <cols>
    <col min="1" max="1" width="54" customWidth="1"/>
    <col min="2" max="2" width="16" customWidth="1"/>
    <col min="3" max="3" width="14" customWidth="1"/>
    <col min="4" max="4" width="12" customWidth="1"/>
    <col min="5" max="5" width="70" customWidth="1"/>
  </cols>
  <sheetData>
    <row r="1" spans="1:5" ht="18" x14ac:dyDescent="0.4">
      <c r="A1" s="1" t="s">
        <v>0</v>
      </c>
    </row>
    <row r="2" spans="1:5" ht="13" x14ac:dyDescent="0.3">
      <c r="A2" s="2" t="s">
        <v>1</v>
      </c>
    </row>
    <row r="3" spans="1:5" ht="13" x14ac:dyDescent="0.3">
      <c r="A3" s="2" t="s">
        <v>2</v>
      </c>
    </row>
    <row r="5" spans="1:5" ht="13" x14ac:dyDescent="0.3">
      <c r="A5" s="18" t="s">
        <v>3</v>
      </c>
    </row>
    <row r="6" spans="1:5" x14ac:dyDescent="0.25">
      <c r="A6" s="4" t="s">
        <v>4</v>
      </c>
      <c r="B6" s="28">
        <f>'Hard Costs'!$C$12</f>
        <v>9</v>
      </c>
    </row>
    <row r="7" spans="1:5" x14ac:dyDescent="0.25">
      <c r="A7" s="4" t="s">
        <v>5</v>
      </c>
      <c r="B7" s="28">
        <f>'Hard Costs'!$C$10</f>
        <v>6879</v>
      </c>
      <c r="E7" s="19" t="s">
        <v>6</v>
      </c>
    </row>
    <row r="8" spans="1:5" ht="24" x14ac:dyDescent="0.25">
      <c r="A8" s="4" t="s">
        <v>7</v>
      </c>
      <c r="B8" s="28">
        <f>'Rev &amp; Unit-by-Unit'!$I$27</f>
        <v>6879</v>
      </c>
      <c r="E8" s="19" t="s">
        <v>8</v>
      </c>
    </row>
    <row r="9" spans="1:5" x14ac:dyDescent="0.25">
      <c r="A9" s="4" t="s">
        <v>9</v>
      </c>
      <c r="B9" s="28">
        <f>'Hard Costs'!$C$9</f>
        <v>1717</v>
      </c>
    </row>
    <row r="10" spans="1:5" x14ac:dyDescent="0.25">
      <c r="A10" s="4" t="s">
        <v>10</v>
      </c>
      <c r="B10" s="28">
        <f>'Hard Costs'!$C$22</f>
        <v>2616</v>
      </c>
    </row>
    <row r="11" spans="1:5" x14ac:dyDescent="0.25">
      <c r="A11" s="4" t="s">
        <v>11</v>
      </c>
      <c r="B11" s="28">
        <f>'Hard Costs'!$C$17</f>
        <v>1857</v>
      </c>
      <c r="E11" t="s">
        <v>12</v>
      </c>
    </row>
    <row r="12" spans="1:5" x14ac:dyDescent="0.25">
      <c r="A12" s="4" t="s">
        <v>13</v>
      </c>
      <c r="B12" s="28">
        <f>'Hard Costs'!$C$6</f>
        <v>14518</v>
      </c>
      <c r="E12" s="19" t="s">
        <v>14</v>
      </c>
    </row>
    <row r="13" spans="1:5" ht="13" x14ac:dyDescent="0.3">
      <c r="A13" s="4" t="s">
        <v>15</v>
      </c>
      <c r="B13" s="5" t="str">
        <f>'Hard Costs'!C49</f>
        <v>PASS</v>
      </c>
      <c r="E13" s="19" t="s">
        <v>16</v>
      </c>
    </row>
    <row r="14" spans="1:5" x14ac:dyDescent="0.25">
      <c r="A14" s="4" t="s">
        <v>17</v>
      </c>
      <c r="B14" s="28" t="str">
        <f>'Hard Costs'!C50</f>
        <v>PASS</v>
      </c>
      <c r="E14" s="19" t="s">
        <v>18</v>
      </c>
    </row>
    <row r="15" spans="1:5" ht="13" x14ac:dyDescent="0.3">
      <c r="A15" s="4" t="s">
        <v>19</v>
      </c>
      <c r="B15" s="5" t="str">
        <f>'Hard Costs'!C54</f>
        <v>PASS</v>
      </c>
    </row>
    <row r="17" spans="1:5" ht="13" x14ac:dyDescent="0.3">
      <c r="A17" s="18" t="s">
        <v>20</v>
      </c>
    </row>
    <row r="18" spans="1:5" ht="13" x14ac:dyDescent="0.25">
      <c r="A18" s="3"/>
      <c r="B18" s="3" t="s">
        <v>21</v>
      </c>
      <c r="C18" s="3" t="s">
        <v>22</v>
      </c>
      <c r="D18" s="3" t="s">
        <v>23</v>
      </c>
      <c r="E18" s="3" t="s">
        <v>24</v>
      </c>
    </row>
    <row r="19" spans="1:5" x14ac:dyDescent="0.25">
      <c r="A19" s="4" t="s">
        <v>25</v>
      </c>
      <c r="B19" s="26">
        <f>'Rev &amp; Unit-by-Unit'!$M$27</f>
        <v>9030450</v>
      </c>
      <c r="C19" s="9">
        <f>B19/$B$7</f>
        <v>1312.7562145660706</v>
      </c>
      <c r="E19" s="19" t="s">
        <v>26</v>
      </c>
    </row>
    <row r="20" spans="1:5" x14ac:dyDescent="0.25">
      <c r="A20" s="4" t="s">
        <v>27</v>
      </c>
      <c r="B20" s="26">
        <f>'Rev &amp; Unit-by-Unit'!$N$27</f>
        <v>1312.7562145660706</v>
      </c>
      <c r="E20" s="19" t="s">
        <v>28</v>
      </c>
    </row>
    <row r="21" spans="1:5" x14ac:dyDescent="0.25">
      <c r="A21" s="4" t="s">
        <v>29</v>
      </c>
      <c r="B21" s="26">
        <f>'Rev &amp; Unit-by-Unit'!$G$6</f>
        <v>1450</v>
      </c>
      <c r="E21" s="19" t="s">
        <v>30</v>
      </c>
    </row>
    <row r="22" spans="1:5" ht="24" x14ac:dyDescent="0.25">
      <c r="A22" s="4" t="s">
        <v>31</v>
      </c>
      <c r="B22" s="26">
        <f>'Rev &amp; Unit-by-Unit'!$G$42</f>
        <v>5095798</v>
      </c>
      <c r="C22" s="9">
        <f>B22/($B$9+$B$10)</f>
        <v>1176.0438495268868</v>
      </c>
      <c r="E22" s="19" t="s">
        <v>32</v>
      </c>
    </row>
    <row r="23" spans="1:5" ht="13" x14ac:dyDescent="0.3">
      <c r="A23" s="12" t="s">
        <v>33</v>
      </c>
      <c r="B23" s="13">
        <f>B19+B22</f>
        <v>14126248</v>
      </c>
      <c r="C23" s="13">
        <f>B23/$B$7</f>
        <v>2053.5321994475939</v>
      </c>
      <c r="D23" s="14"/>
      <c r="E23" s="14"/>
    </row>
    <row r="24" spans="1:5" x14ac:dyDescent="0.25">
      <c r="A24" s="4" t="s">
        <v>34</v>
      </c>
      <c r="B24" s="26">
        <f>-'Rev &amp; Unit-by-Unit'!$M$61</f>
        <v>-518219.21249999997</v>
      </c>
      <c r="C24" s="9">
        <f>B24/$B$7</f>
        <v>-75.333509594417791</v>
      </c>
      <c r="E24" s="19" t="s">
        <v>35</v>
      </c>
    </row>
    <row r="25" spans="1:5" x14ac:dyDescent="0.25">
      <c r="A25" s="4" t="s">
        <v>36</v>
      </c>
      <c r="B25" s="26">
        <f>-'Rev &amp; Unit-by-Unit'!$M$68</f>
        <v>-498114.25449999998</v>
      </c>
      <c r="C25" s="9">
        <f>B25/$B$7</f>
        <v>-72.410852522168923</v>
      </c>
    </row>
    <row r="26" spans="1:5" x14ac:dyDescent="0.25">
      <c r="A26" s="4" t="s">
        <v>37</v>
      </c>
      <c r="B26" s="26">
        <f>-'Rev &amp; Unit-by-Unit'!$M$74</f>
        <v>-34000</v>
      </c>
      <c r="C26" s="9">
        <f>B26/$B$7</f>
        <v>-4.9425788632068617</v>
      </c>
    </row>
    <row r="27" spans="1:5" ht="13" x14ac:dyDescent="0.3">
      <c r="A27" s="12" t="s">
        <v>38</v>
      </c>
      <c r="B27" s="13">
        <f>'Rev &amp; Unit-by-Unit'!$M$78</f>
        <v>13075914.533</v>
      </c>
      <c r="C27" s="13">
        <f>B27/$B$7</f>
        <v>1900.8452584678005</v>
      </c>
      <c r="D27" s="14"/>
      <c r="E27" s="14"/>
    </row>
    <row r="29" spans="1:5" ht="13" x14ac:dyDescent="0.3">
      <c r="A29" s="18" t="s">
        <v>39</v>
      </c>
    </row>
    <row r="30" spans="1:5" ht="13" x14ac:dyDescent="0.25">
      <c r="A30" s="3"/>
      <c r="B30" s="3" t="s">
        <v>21</v>
      </c>
      <c r="C30" s="3" t="s">
        <v>22</v>
      </c>
      <c r="D30" s="3" t="s">
        <v>23</v>
      </c>
      <c r="E30" s="3" t="s">
        <v>24</v>
      </c>
    </row>
    <row r="31" spans="1:5" x14ac:dyDescent="0.25">
      <c r="A31" s="4" t="s">
        <v>40</v>
      </c>
      <c r="B31" s="26">
        <f>'Soft Costs'!$C$7</f>
        <v>4000000</v>
      </c>
      <c r="C31" s="9">
        <f t="shared" ref="C31:C40" si="0">B31/$B$7</f>
        <v>581.47986625963074</v>
      </c>
      <c r="D31" s="11">
        <f t="shared" ref="D31:D40" si="1">B31/$B$40</f>
        <v>0.30537787116027926</v>
      </c>
    </row>
    <row r="32" spans="1:5" x14ac:dyDescent="0.25">
      <c r="A32" s="4" t="s">
        <v>41</v>
      </c>
      <c r="B32" s="26">
        <f>'Soft Costs'!$G$24</f>
        <v>0</v>
      </c>
      <c r="C32" s="9">
        <f t="shared" si="0"/>
        <v>0</v>
      </c>
      <c r="D32" s="11">
        <f t="shared" si="1"/>
        <v>0</v>
      </c>
      <c r="E32" s="19" t="s">
        <v>42</v>
      </c>
    </row>
    <row r="33" spans="1:5" ht="24" x14ac:dyDescent="0.25">
      <c r="A33" s="4" t="s">
        <v>43</v>
      </c>
      <c r="B33" s="26">
        <f>'Hard Costs'!$G$121</f>
        <v>6533100</v>
      </c>
      <c r="C33" s="9">
        <f t="shared" si="0"/>
        <v>949.71652856519847</v>
      </c>
      <c r="D33" s="11">
        <f t="shared" si="1"/>
        <v>0.49876604251930506</v>
      </c>
      <c r="E33" s="19" t="s">
        <v>44</v>
      </c>
    </row>
    <row r="34" spans="1:5" x14ac:dyDescent="0.25">
      <c r="A34" s="4" t="s">
        <v>45</v>
      </c>
      <c r="B34" s="26">
        <f>'Soft Costs'!$G$49</f>
        <v>1549116.8000000003</v>
      </c>
      <c r="C34" s="9">
        <f t="shared" si="0"/>
        <v>225.19505742113682</v>
      </c>
      <c r="D34" s="11">
        <f t="shared" si="1"/>
        <v>0.11826649764065604</v>
      </c>
      <c r="E34" s="19" t="s">
        <v>46</v>
      </c>
    </row>
    <row r="35" spans="1:5" x14ac:dyDescent="0.25">
      <c r="A35" s="4" t="s">
        <v>47</v>
      </c>
      <c r="B35" s="26">
        <f>'Soft Costs'!$G$51</f>
        <v>260492.59420800002</v>
      </c>
      <c r="C35" s="9">
        <f t="shared" si="0"/>
        <v>37.867799710423029</v>
      </c>
      <c r="D35" s="11">
        <f t="shared" si="1"/>
        <v>1.9887168468064383E-2</v>
      </c>
    </row>
    <row r="36" spans="1:5" x14ac:dyDescent="0.25">
      <c r="A36" s="4" t="s">
        <v>48</v>
      </c>
      <c r="B36" s="26">
        <f>Finance!$B$39</f>
        <v>93033.069360000009</v>
      </c>
      <c r="C36" s="9">
        <f t="shared" si="0"/>
        <v>13.524214182293939</v>
      </c>
      <c r="D36" s="11">
        <f t="shared" si="1"/>
        <v>7.1025601671658514E-3</v>
      </c>
    </row>
    <row r="37" spans="1:5" x14ac:dyDescent="0.25">
      <c r="A37" s="4" t="s">
        <v>49</v>
      </c>
      <c r="B37" s="26">
        <f>Finance!$B$47</f>
        <v>600118.08483901853</v>
      </c>
      <c r="C37" s="9">
        <f t="shared" si="0"/>
        <v>87.239145928044564</v>
      </c>
      <c r="D37" s="11">
        <f t="shared" si="1"/>
        <v>4.5815695798230832E-2</v>
      </c>
      <c r="E37" s="19" t="s">
        <v>50</v>
      </c>
    </row>
    <row r="38" spans="1:5" x14ac:dyDescent="0.25">
      <c r="A38" s="4" t="s">
        <v>51</v>
      </c>
      <c r="B38" s="26">
        <f>Finance!$B$42</f>
        <v>0</v>
      </c>
      <c r="C38" s="9">
        <f t="shared" si="0"/>
        <v>0</v>
      </c>
      <c r="D38" s="11">
        <f t="shared" si="1"/>
        <v>0</v>
      </c>
    </row>
    <row r="39" spans="1:5" x14ac:dyDescent="0.25">
      <c r="A39" s="4" t="s">
        <v>52</v>
      </c>
      <c r="B39" s="26">
        <f>'Soft Costs'!$G$59</f>
        <v>62665.5</v>
      </c>
      <c r="C39" s="9">
        <f t="shared" si="0"/>
        <v>9.109681639773223</v>
      </c>
      <c r="D39" s="11">
        <f t="shared" si="1"/>
        <v>4.78416424629862E-3</v>
      </c>
      <c r="E39" s="19" t="s">
        <v>53</v>
      </c>
    </row>
    <row r="40" spans="1:5" ht="13" x14ac:dyDescent="0.3">
      <c r="A40" s="12" t="s">
        <v>54</v>
      </c>
      <c r="B40" s="13">
        <f>SUM(B31:B39)</f>
        <v>13098526.048407018</v>
      </c>
      <c r="C40" s="13">
        <f t="shared" si="0"/>
        <v>1904.1322937065006</v>
      </c>
      <c r="D40" s="20">
        <f t="shared" si="1"/>
        <v>1</v>
      </c>
      <c r="E40" s="14"/>
    </row>
    <row r="42" spans="1:5" ht="13" x14ac:dyDescent="0.3">
      <c r="A42" s="18" t="s">
        <v>55</v>
      </c>
    </row>
    <row r="43" spans="1:5" ht="13" x14ac:dyDescent="0.3">
      <c r="A43" s="12" t="s">
        <v>56</v>
      </c>
      <c r="B43" s="13">
        <f>B27-B40</f>
        <v>-22611.515407018363</v>
      </c>
      <c r="C43" s="13">
        <f>B43/$B$7</f>
        <v>-3.2870352387001547</v>
      </c>
      <c r="D43" s="14"/>
      <c r="E43" s="14"/>
    </row>
    <row r="44" spans="1:5" x14ac:dyDescent="0.25">
      <c r="A44" s="4" t="s">
        <v>57</v>
      </c>
      <c r="B44" s="11">
        <f>B43/B40</f>
        <v>-1.7262641096757808E-3</v>
      </c>
      <c r="E44" s="19" t="s">
        <v>58</v>
      </c>
    </row>
    <row r="45" spans="1:5" x14ac:dyDescent="0.25">
      <c r="A45" s="4" t="s">
        <v>59</v>
      </c>
      <c r="B45" s="9">
        <f>B43/B6</f>
        <v>-2512.3906007798182</v>
      </c>
    </row>
    <row r="46" spans="1:5" x14ac:dyDescent="0.25">
      <c r="A46" s="4" t="s">
        <v>60</v>
      </c>
      <c r="B46" s="9">
        <f>Finance!$B$52-B43</f>
        <v>2.7939677238464355E-9</v>
      </c>
    </row>
    <row r="47" spans="1:5" x14ac:dyDescent="0.25">
      <c r="A47" s="4" t="s">
        <v>61</v>
      </c>
      <c r="B47" s="26">
        <f>'Rev &amp; Unit-by-Unit'!$M$82</f>
        <v>0</v>
      </c>
      <c r="E47" s="19" t="s">
        <v>62</v>
      </c>
    </row>
    <row r="48" spans="1:5" x14ac:dyDescent="0.25">
      <c r="A48" s="4" t="s">
        <v>63</v>
      </c>
      <c r="B48" s="26">
        <f>'Rev &amp; Unit-by-Unit'!$M$83</f>
        <v>236994.00750000001</v>
      </c>
      <c r="E48" s="19" t="s">
        <v>64</v>
      </c>
    </row>
    <row r="49" spans="1:5" ht="24" x14ac:dyDescent="0.3">
      <c r="A49" s="12" t="s">
        <v>65</v>
      </c>
      <c r="B49" s="13">
        <f>B43-B47-B48</f>
        <v>-259605.52290701837</v>
      </c>
      <c r="C49" s="14"/>
      <c r="D49" s="14"/>
      <c r="E49" s="19" t="s">
        <v>66</v>
      </c>
    </row>
    <row r="50" spans="1:5" x14ac:dyDescent="0.25">
      <c r="A50" s="4" t="s">
        <v>67</v>
      </c>
      <c r="B50" s="11">
        <f>B49/B40</f>
        <v>-1.9819445481699095E-2</v>
      </c>
    </row>
    <row r="52" spans="1:5" ht="13" x14ac:dyDescent="0.3">
      <c r="A52" s="18" t="s">
        <v>68</v>
      </c>
    </row>
    <row r="53" spans="1:5" x14ac:dyDescent="0.25">
      <c r="A53" s="4" t="s">
        <v>69</v>
      </c>
      <c r="B53" s="26">
        <f>Finance!$B$38</f>
        <v>9303306.9360000007</v>
      </c>
    </row>
    <row r="54" spans="1:5" x14ac:dyDescent="0.25">
      <c r="A54" s="4" t="s">
        <v>70</v>
      </c>
      <c r="B54" s="26">
        <f>Finance!$B$48</f>
        <v>8634237.674332941</v>
      </c>
    </row>
    <row r="55" spans="1:5" x14ac:dyDescent="0.25">
      <c r="A55" s="4" t="s">
        <v>71</v>
      </c>
      <c r="B55" s="26">
        <f>Finance!$B$50</f>
        <v>4401622.8740740744</v>
      </c>
      <c r="E55" s="19" t="s">
        <v>72</v>
      </c>
    </row>
    <row r="57" spans="1:5" ht="13" x14ac:dyDescent="0.3">
      <c r="A57" s="18" t="s">
        <v>73</v>
      </c>
    </row>
    <row r="58" spans="1:5" x14ac:dyDescent="0.25">
      <c r="A58" s="4" t="s">
        <v>74</v>
      </c>
      <c r="B58" s="27">
        <f>Finance!$B$54</f>
        <v>0.99486291396289328</v>
      </c>
    </row>
    <row r="59" spans="1:5" x14ac:dyDescent="0.25">
      <c r="A59" s="4" t="s">
        <v>75</v>
      </c>
      <c r="B59" s="31">
        <f>Finance!$B$55</f>
        <v>-5.1370860371067403E-3</v>
      </c>
      <c r="E59" s="19" t="s">
        <v>76</v>
      </c>
    </row>
    <row r="60" spans="1:5" x14ac:dyDescent="0.25">
      <c r="A60" s="4" t="s">
        <v>77</v>
      </c>
      <c r="B60" s="31">
        <f>Finance!$B$56</f>
        <v>-2.3193882013247125E-3</v>
      </c>
      <c r="E60" s="19" t="s">
        <v>78</v>
      </c>
    </row>
    <row r="61" spans="1:5" x14ac:dyDescent="0.25">
      <c r="A61" s="4" t="s">
        <v>79</v>
      </c>
      <c r="B61" s="31">
        <f>Finance!$B$57</f>
        <v>5.9801144244321813E-2</v>
      </c>
    </row>
    <row r="62" spans="1:5" x14ac:dyDescent="0.25">
      <c r="A62" s="4" t="s">
        <v>80</v>
      </c>
      <c r="B62" s="31">
        <f>Finance!$B$60</f>
        <v>-2.3193882013247125E-3</v>
      </c>
      <c r="E62" s="19" t="s">
        <v>81</v>
      </c>
    </row>
    <row r="63" spans="1:5" x14ac:dyDescent="0.25">
      <c r="A63" s="4" t="s">
        <v>82</v>
      </c>
      <c r="B63" s="27">
        <f>Finance!$B$59</f>
        <v>0.99486291396289306</v>
      </c>
    </row>
    <row r="64" spans="1:5" x14ac:dyDescent="0.25">
      <c r="A64" s="4" t="s">
        <v>83</v>
      </c>
      <c r="B64" s="26">
        <f>Finance!$B$61</f>
        <v>0</v>
      </c>
    </row>
    <row r="65" spans="1:5" x14ac:dyDescent="0.25">
      <c r="A65" s="4" t="s">
        <v>84</v>
      </c>
      <c r="B65" s="31">
        <f>Finance!$B$63</f>
        <v>-2.3193882013247125E-3</v>
      </c>
    </row>
    <row r="67" spans="1:5" ht="13" x14ac:dyDescent="0.3">
      <c r="A67" s="18" t="s">
        <v>85</v>
      </c>
    </row>
    <row r="68" spans="1:5" ht="24" x14ac:dyDescent="0.25">
      <c r="A68" s="4" t="s">
        <v>86</v>
      </c>
      <c r="B68" s="9">
        <f>(B19-B43/(1-'Rev &amp; Unit-by-Unit'!$I$53-'Rev &amp; Unit-by-Unit'!$I$54-'Rev &amp; Unit-by-Unit'!$I$55-'Rev &amp; Unit-by-Unit'!$I$60))/B8</f>
        <v>1316.2098896264331</v>
      </c>
      <c r="E68" s="19" t="s">
        <v>87</v>
      </c>
    </row>
    <row r="69" spans="1:5" x14ac:dyDescent="0.25">
      <c r="A69" s="4" t="s">
        <v>88</v>
      </c>
      <c r="B69" s="9">
        <f>(B19+(0.15*B40-B43)/(1-'Rev &amp; Unit-by-Unit'!$I$53-'Rev &amp; Unit-by-Unit'!$I$54-'Rev &amp; Unit-by-Unit'!$I$55-'Rev &amp; Unit-by-Unit'!$I$60))/B8</f>
        <v>1616.3095419048416</v>
      </c>
      <c r="E69" s="19" t="s">
        <v>89</v>
      </c>
    </row>
    <row r="71" spans="1:5" ht="13" x14ac:dyDescent="0.3">
      <c r="A71" s="2" t="s">
        <v>90</v>
      </c>
    </row>
  </sheetData>
  <pageMargins left="0.5" right="0.5" top="0.6" bottom="0.6" header="0.3" footer="0.3"/>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pageSetUpPr fitToPage="1"/>
  </sheetPr>
  <dimension ref="A1:P83"/>
  <sheetViews>
    <sheetView showGridLines="0" workbookViewId="0">
      <pane ySplit="3" topLeftCell="A4" activePane="bottomLeft" state="frozen"/>
      <selection pane="bottomLeft"/>
    </sheetView>
  </sheetViews>
  <sheetFormatPr defaultRowHeight="12.5" outlineLevelRow="1" x14ac:dyDescent="0.25"/>
  <cols>
    <col min="1" max="1" width="30" customWidth="1"/>
    <col min="2" max="2" width="10" customWidth="1"/>
    <col min="3" max="3" width="30" customWidth="1"/>
    <col min="4" max="4" width="9" customWidth="1"/>
    <col min="5" max="5" width="8" customWidth="1"/>
    <col min="6" max="6" width="10" customWidth="1"/>
    <col min="7" max="11" width="11" customWidth="1"/>
    <col min="12" max="13" width="14" customWidth="1"/>
    <col min="14" max="15" width="11" customWidth="1"/>
    <col min="16" max="16" width="58" customWidth="1"/>
  </cols>
  <sheetData>
    <row r="1" spans="1:9" ht="18" x14ac:dyDescent="0.4">
      <c r="A1" s="1" t="s">
        <v>91</v>
      </c>
    </row>
    <row r="2" spans="1:9" ht="13" x14ac:dyDescent="0.3">
      <c r="A2" s="2" t="s">
        <v>92</v>
      </c>
    </row>
    <row r="3" spans="1:9" ht="13" x14ac:dyDescent="0.3">
      <c r="A3" s="2" t="s">
        <v>93</v>
      </c>
    </row>
    <row r="5" spans="1:9" ht="13" x14ac:dyDescent="0.3">
      <c r="A5" s="18" t="s">
        <v>94</v>
      </c>
    </row>
    <row r="6" spans="1:9" ht="13" outlineLevel="1" x14ac:dyDescent="0.3">
      <c r="A6" s="4" t="s">
        <v>95</v>
      </c>
      <c r="G6" s="7">
        <v>1450</v>
      </c>
      <c r="H6" s="4" t="s">
        <v>96</v>
      </c>
      <c r="I6" s="2" t="s">
        <v>97</v>
      </c>
    </row>
    <row r="7" spans="1:9" ht="25" outlineLevel="1" x14ac:dyDescent="0.3">
      <c r="A7" s="4" t="s">
        <v>98</v>
      </c>
      <c r="G7" s="8">
        <v>0.2</v>
      </c>
      <c r="H7" s="4" t="s">
        <v>99</v>
      </c>
      <c r="I7" s="2" t="s">
        <v>100</v>
      </c>
    </row>
    <row r="8" spans="1:9" outlineLevel="1" x14ac:dyDescent="0.25">
      <c r="A8" s="4" t="s">
        <v>101</v>
      </c>
      <c r="G8" s="9">
        <f>$G$6*(1+$G$7)</f>
        <v>1740</v>
      </c>
      <c r="H8" s="4" t="s">
        <v>96</v>
      </c>
    </row>
    <row r="10" spans="1:9" ht="13" outlineLevel="1" x14ac:dyDescent="0.3">
      <c r="A10" s="18" t="s">
        <v>102</v>
      </c>
    </row>
    <row r="11" spans="1:9" ht="25" outlineLevel="1" x14ac:dyDescent="0.3">
      <c r="A11" s="4" t="s">
        <v>103</v>
      </c>
      <c r="G11" s="28">
        <f>'Hard Costs'!$C$10</f>
        <v>6879</v>
      </c>
      <c r="H11" s="4" t="s">
        <v>104</v>
      </c>
      <c r="I11" s="2" t="s">
        <v>105</v>
      </c>
    </row>
    <row r="12" spans="1:9" ht="13" outlineLevel="1" x14ac:dyDescent="0.3">
      <c r="A12" s="4" t="s">
        <v>106</v>
      </c>
      <c r="G12" s="32">
        <v>0</v>
      </c>
      <c r="H12" s="4" t="s">
        <v>104</v>
      </c>
      <c r="I12" s="2" t="s">
        <v>107</v>
      </c>
    </row>
    <row r="13" spans="1:9" ht="13" outlineLevel="1" x14ac:dyDescent="0.3">
      <c r="A13" s="4" t="s">
        <v>108</v>
      </c>
      <c r="G13" s="33">
        <f>IF($G$12&gt;0,$G$12-$G$11,0)</f>
        <v>0</v>
      </c>
      <c r="H13" s="4" t="s">
        <v>104</v>
      </c>
      <c r="I13" s="2" t="s">
        <v>109</v>
      </c>
    </row>
    <row r="14" spans="1:9" ht="25" outlineLevel="1" x14ac:dyDescent="0.25">
      <c r="A14" s="4" t="s">
        <v>110</v>
      </c>
      <c r="G14" s="34">
        <f>$G$13/$G$11</f>
        <v>0</v>
      </c>
      <c r="H14" s="4"/>
    </row>
    <row r="16" spans="1:9" ht="13" x14ac:dyDescent="0.3">
      <c r="A16" s="18" t="s">
        <v>111</v>
      </c>
    </row>
    <row r="17" spans="1:16" ht="30" customHeight="1" x14ac:dyDescent="0.25">
      <c r="A17" s="3" t="s">
        <v>112</v>
      </c>
      <c r="B17" s="3" t="s">
        <v>113</v>
      </c>
      <c r="C17" s="3" t="s">
        <v>114</v>
      </c>
      <c r="D17" s="3" t="s">
        <v>115</v>
      </c>
      <c r="E17" s="3" t="s">
        <v>116</v>
      </c>
      <c r="F17" s="3" t="s">
        <v>117</v>
      </c>
      <c r="G17" s="3" t="s">
        <v>118</v>
      </c>
      <c r="H17" s="3" t="s">
        <v>119</v>
      </c>
      <c r="I17" s="3" t="s">
        <v>120</v>
      </c>
      <c r="J17" s="3" t="s">
        <v>121</v>
      </c>
      <c r="K17" s="3" t="s">
        <v>122</v>
      </c>
      <c r="L17" s="3" t="s">
        <v>123</v>
      </c>
      <c r="M17" s="3" t="s">
        <v>124</v>
      </c>
      <c r="N17" s="3" t="s">
        <v>125</v>
      </c>
      <c r="O17" s="3" t="s">
        <v>126</v>
      </c>
      <c r="P17" s="3" t="s">
        <v>24</v>
      </c>
    </row>
    <row r="18" spans="1:16" ht="24" x14ac:dyDescent="0.3">
      <c r="A18" s="5" t="s">
        <v>127</v>
      </c>
      <c r="B18" s="4" t="s">
        <v>128</v>
      </c>
      <c r="C18" s="28" t="str">
        <f>'Hard Costs'!$B$29</f>
        <v>Affordable 1-bedroom, floor 4 (4F), for sale</v>
      </c>
      <c r="D18" s="6">
        <v>1</v>
      </c>
      <c r="E18" s="28">
        <f>'Hard Costs'!$G$29</f>
        <v>1</v>
      </c>
      <c r="F18" s="28" t="str">
        <f>IF('Hard Costs'!$H$29=1,"Yes","No")</f>
        <v>No</v>
      </c>
      <c r="G18" s="40">
        <v>858</v>
      </c>
      <c r="H18" s="33">
        <f t="shared" ref="H18:H26" si="0">G18*$G$14</f>
        <v>0</v>
      </c>
      <c r="I18" s="10">
        <f t="shared" ref="I18:I26" si="1">G18+H18</f>
        <v>858</v>
      </c>
      <c r="J18" s="9">
        <f>IF('Hard Costs'!$H$29=1,$G$8,$G$6)</f>
        <v>1450</v>
      </c>
      <c r="K18" s="8">
        <v>0</v>
      </c>
      <c r="L18" s="41">
        <v>300000</v>
      </c>
      <c r="M18" s="9">
        <f t="shared" ref="M18:M26" si="2">IF(N(L18)&gt;0,L18,I18*J18*(1+K18))</f>
        <v>300000</v>
      </c>
      <c r="N18" s="9">
        <f t="shared" ref="N18:N27" si="3">M18/I18</f>
        <v>349.65034965034965</v>
      </c>
      <c r="O18" s="6">
        <v>1</v>
      </c>
      <c r="P18" s="19" t="s">
        <v>129</v>
      </c>
    </row>
    <row r="19" spans="1:16" ht="13" x14ac:dyDescent="0.3">
      <c r="A19" s="5" t="s">
        <v>130</v>
      </c>
      <c r="B19" s="4" t="s">
        <v>128</v>
      </c>
      <c r="C19" s="28" t="str">
        <f>'Hard Costs'!$B$30</f>
        <v>1-bedroom, rear, floors 4-7 (4R, 5R, 6R, 7R)</v>
      </c>
      <c r="D19" s="6">
        <v>1</v>
      </c>
      <c r="E19" s="28">
        <f>'Hard Costs'!$G$30</f>
        <v>1</v>
      </c>
      <c r="F19" s="28" t="str">
        <f>IF('Hard Costs'!$H$30=1,"Yes","No")</f>
        <v>No</v>
      </c>
      <c r="G19" s="40">
        <v>714</v>
      </c>
      <c r="H19" s="33">
        <f t="shared" si="0"/>
        <v>0</v>
      </c>
      <c r="I19" s="10">
        <f t="shared" si="1"/>
        <v>714</v>
      </c>
      <c r="J19" s="9">
        <f>IF('Hard Costs'!$H$30=1,$G$8,$G$6)</f>
        <v>1450</v>
      </c>
      <c r="K19" s="8">
        <v>0</v>
      </c>
      <c r="L19" s="7"/>
      <c r="M19" s="9">
        <f t="shared" si="2"/>
        <v>1035300</v>
      </c>
      <c r="N19" s="9">
        <f t="shared" si="3"/>
        <v>1450</v>
      </c>
      <c r="O19" s="6">
        <v>1</v>
      </c>
      <c r="P19" s="19" t="s">
        <v>131</v>
      </c>
    </row>
    <row r="20" spans="1:16" ht="13" x14ac:dyDescent="0.3">
      <c r="A20" s="5" t="s">
        <v>132</v>
      </c>
      <c r="B20" s="4" t="s">
        <v>133</v>
      </c>
      <c r="C20" s="28" t="str">
        <f>'Hard Costs'!$B$31</f>
        <v>2-bedroom, street, floors 5-6 (5F, 6F)</v>
      </c>
      <c r="D20" s="6">
        <v>2</v>
      </c>
      <c r="E20" s="28">
        <f>'Hard Costs'!$G$31</f>
        <v>2</v>
      </c>
      <c r="F20" s="28" t="str">
        <f>IF('Hard Costs'!$H$31=1,"Yes","No")</f>
        <v>No</v>
      </c>
      <c r="G20" s="40">
        <v>858</v>
      </c>
      <c r="H20" s="33">
        <f t="shared" si="0"/>
        <v>0</v>
      </c>
      <c r="I20" s="10">
        <f t="shared" si="1"/>
        <v>858</v>
      </c>
      <c r="J20" s="9">
        <f>IF('Hard Costs'!$H$31=1,$G$8,$G$6)</f>
        <v>1450</v>
      </c>
      <c r="K20" s="8">
        <v>0</v>
      </c>
      <c r="L20" s="7"/>
      <c r="M20" s="9">
        <f t="shared" si="2"/>
        <v>1244100</v>
      </c>
      <c r="N20" s="9">
        <f t="shared" si="3"/>
        <v>1450</v>
      </c>
      <c r="O20" s="6">
        <v>1</v>
      </c>
      <c r="P20" s="19" t="s">
        <v>134</v>
      </c>
    </row>
    <row r="21" spans="1:16" ht="13" x14ac:dyDescent="0.3">
      <c r="A21" s="5" t="s">
        <v>135</v>
      </c>
      <c r="B21" s="4" t="s">
        <v>133</v>
      </c>
      <c r="C21" s="28" t="str">
        <f>'Hard Costs'!$B$30</f>
        <v>1-bedroom, rear, floors 4-7 (4R, 5R, 6R, 7R)</v>
      </c>
      <c r="D21" s="6">
        <v>1</v>
      </c>
      <c r="E21" s="28">
        <f>'Hard Costs'!$G$30</f>
        <v>1</v>
      </c>
      <c r="F21" s="28" t="str">
        <f>IF('Hard Costs'!$H$30=1,"Yes","No")</f>
        <v>No</v>
      </c>
      <c r="G21" s="40">
        <v>719</v>
      </c>
      <c r="H21" s="33">
        <f t="shared" si="0"/>
        <v>0</v>
      </c>
      <c r="I21" s="10">
        <f t="shared" si="1"/>
        <v>719</v>
      </c>
      <c r="J21" s="9">
        <f>IF('Hard Costs'!$H$30=1,$G$8,$G$6)</f>
        <v>1450</v>
      </c>
      <c r="K21" s="8">
        <v>0</v>
      </c>
      <c r="L21" s="7"/>
      <c r="M21" s="9">
        <f t="shared" si="2"/>
        <v>1042550</v>
      </c>
      <c r="N21" s="9">
        <f t="shared" si="3"/>
        <v>1450</v>
      </c>
      <c r="O21" s="6">
        <v>1</v>
      </c>
      <c r="P21" s="19" t="s">
        <v>136</v>
      </c>
    </row>
    <row r="22" spans="1:16" ht="13" x14ac:dyDescent="0.3">
      <c r="A22" s="5" t="s">
        <v>137</v>
      </c>
      <c r="B22" s="4" t="s">
        <v>138</v>
      </c>
      <c r="C22" s="28" t="str">
        <f>'Hard Costs'!$B$31</f>
        <v>2-bedroom, street, floors 5-6 (5F, 6F)</v>
      </c>
      <c r="D22" s="6">
        <v>2</v>
      </c>
      <c r="E22" s="28">
        <f>'Hard Costs'!$G$31</f>
        <v>2</v>
      </c>
      <c r="F22" s="28" t="str">
        <f>IF('Hard Costs'!$H$31=1,"Yes","No")</f>
        <v>No</v>
      </c>
      <c r="G22" s="40">
        <v>858</v>
      </c>
      <c r="H22" s="33">
        <f t="shared" si="0"/>
        <v>0</v>
      </c>
      <c r="I22" s="10">
        <f t="shared" si="1"/>
        <v>858</v>
      </c>
      <c r="J22" s="9">
        <f>IF('Hard Costs'!$H$31=1,$G$8,$G$6)</f>
        <v>1450</v>
      </c>
      <c r="K22" s="8">
        <v>0</v>
      </c>
      <c r="L22" s="7"/>
      <c r="M22" s="9">
        <f t="shared" si="2"/>
        <v>1244100</v>
      </c>
      <c r="N22" s="9">
        <f t="shared" si="3"/>
        <v>1450</v>
      </c>
      <c r="O22" s="6">
        <v>1</v>
      </c>
      <c r="P22" s="19" t="s">
        <v>134</v>
      </c>
    </row>
    <row r="23" spans="1:16" ht="13" x14ac:dyDescent="0.3">
      <c r="A23" s="5" t="s">
        <v>139</v>
      </c>
      <c r="B23" s="4" t="s">
        <v>138</v>
      </c>
      <c r="C23" s="28" t="str">
        <f>'Hard Costs'!$B$30</f>
        <v>1-bedroom, rear, floors 4-7 (4R, 5R, 6R, 7R)</v>
      </c>
      <c r="D23" s="6">
        <v>1</v>
      </c>
      <c r="E23" s="28">
        <f>'Hard Costs'!$G$30</f>
        <v>1</v>
      </c>
      <c r="F23" s="28" t="str">
        <f>IF('Hard Costs'!$H$30=1,"Yes","No")</f>
        <v>No</v>
      </c>
      <c r="G23" s="40">
        <v>719</v>
      </c>
      <c r="H23" s="33">
        <f t="shared" si="0"/>
        <v>0</v>
      </c>
      <c r="I23" s="10">
        <f t="shared" si="1"/>
        <v>719</v>
      </c>
      <c r="J23" s="9">
        <f>IF('Hard Costs'!$H$30=1,$G$8,$G$6)</f>
        <v>1450</v>
      </c>
      <c r="K23" s="8">
        <v>0</v>
      </c>
      <c r="L23" s="7"/>
      <c r="M23" s="9">
        <f t="shared" si="2"/>
        <v>1042550</v>
      </c>
      <c r="N23" s="9">
        <f t="shared" si="3"/>
        <v>1450</v>
      </c>
      <c r="O23" s="6">
        <v>1</v>
      </c>
      <c r="P23" s="19" t="s">
        <v>140</v>
      </c>
    </row>
    <row r="24" spans="1:16" ht="24" x14ac:dyDescent="0.3">
      <c r="A24" s="5" t="s">
        <v>141</v>
      </c>
      <c r="B24" s="4" t="s">
        <v>142</v>
      </c>
      <c r="C24" s="28" t="str">
        <f>'Hard Costs'!$B$32</f>
        <v>Studio with street terrace, floor 7 (7F)</v>
      </c>
      <c r="D24" s="6">
        <v>0</v>
      </c>
      <c r="E24" s="28">
        <f>'Hard Costs'!$G$32</f>
        <v>1</v>
      </c>
      <c r="F24" s="28" t="str">
        <f>IF('Hard Costs'!$H$32=1,"Yes","No")</f>
        <v>No</v>
      </c>
      <c r="G24" s="40">
        <v>567</v>
      </c>
      <c r="H24" s="33">
        <f t="shared" si="0"/>
        <v>0</v>
      </c>
      <c r="I24" s="10">
        <f t="shared" si="1"/>
        <v>567</v>
      </c>
      <c r="J24" s="9">
        <f>IF('Hard Costs'!$H$32=1,$G$8,$G$6)</f>
        <v>1450</v>
      </c>
      <c r="K24" s="8">
        <v>0</v>
      </c>
      <c r="L24" s="7"/>
      <c r="M24" s="9">
        <f t="shared" si="2"/>
        <v>822150</v>
      </c>
      <c r="N24" s="9">
        <f t="shared" si="3"/>
        <v>1450</v>
      </c>
      <c r="O24" s="6">
        <v>1</v>
      </c>
      <c r="P24" s="19" t="s">
        <v>143</v>
      </c>
    </row>
    <row r="25" spans="1:16" ht="13" x14ac:dyDescent="0.3">
      <c r="A25" s="5" t="s">
        <v>144</v>
      </c>
      <c r="B25" s="4" t="s">
        <v>142</v>
      </c>
      <c r="C25" s="28" t="str">
        <f>'Hard Costs'!$B$30</f>
        <v>1-bedroom, rear, floors 4-7 (4R, 5R, 6R, 7R)</v>
      </c>
      <c r="D25" s="6">
        <v>1</v>
      </c>
      <c r="E25" s="28">
        <f>'Hard Costs'!$G$30</f>
        <v>1</v>
      </c>
      <c r="F25" s="28" t="str">
        <f>IF('Hard Costs'!$H$30=1,"Yes","No")</f>
        <v>No</v>
      </c>
      <c r="G25" s="40">
        <v>723</v>
      </c>
      <c r="H25" s="33">
        <f t="shared" si="0"/>
        <v>0</v>
      </c>
      <c r="I25" s="10">
        <f t="shared" si="1"/>
        <v>723</v>
      </c>
      <c r="J25" s="9">
        <f>IF('Hard Costs'!$H$30=1,$G$8,$G$6)</f>
        <v>1450</v>
      </c>
      <c r="K25" s="8">
        <v>0</v>
      </c>
      <c r="L25" s="7"/>
      <c r="M25" s="9">
        <f t="shared" si="2"/>
        <v>1048350</v>
      </c>
      <c r="N25" s="9">
        <f t="shared" si="3"/>
        <v>1450</v>
      </c>
      <c r="O25" s="6">
        <v>1</v>
      </c>
      <c r="P25" s="19" t="s">
        <v>145</v>
      </c>
    </row>
    <row r="26" spans="1:16" ht="24" x14ac:dyDescent="0.3">
      <c r="A26" s="5" t="s">
        <v>146</v>
      </c>
      <c r="B26" s="4" t="s">
        <v>147</v>
      </c>
      <c r="C26" s="28" t="str">
        <f>'Hard Costs'!$B$33</f>
        <v>Full-floor penthouse, floor 8, 2 bedrooms + private roof</v>
      </c>
      <c r="D26" s="6">
        <v>2</v>
      </c>
      <c r="E26" s="28">
        <f>'Hard Costs'!$G$33</f>
        <v>2</v>
      </c>
      <c r="F26" s="28" t="str">
        <f>IF('Hard Costs'!$H$33=1,"Yes","No")</f>
        <v>No</v>
      </c>
      <c r="G26" s="40">
        <v>863</v>
      </c>
      <c r="H26" s="33">
        <f t="shared" si="0"/>
        <v>0</v>
      </c>
      <c r="I26" s="10">
        <f t="shared" si="1"/>
        <v>863</v>
      </c>
      <c r="J26" s="9">
        <f>IF('Hard Costs'!$H$33=1,$G$8,$G$6)</f>
        <v>1450</v>
      </c>
      <c r="K26" s="8">
        <v>0</v>
      </c>
      <c r="L26" s="7"/>
      <c r="M26" s="9">
        <f t="shared" si="2"/>
        <v>1251350</v>
      </c>
      <c r="N26" s="9">
        <f t="shared" si="3"/>
        <v>1450</v>
      </c>
      <c r="O26" s="6">
        <v>1</v>
      </c>
      <c r="P26" s="19" t="s">
        <v>148</v>
      </c>
    </row>
    <row r="27" spans="1:16" ht="13" x14ac:dyDescent="0.3">
      <c r="A27" s="12" t="s">
        <v>149</v>
      </c>
      <c r="B27" s="14"/>
      <c r="C27" s="14"/>
      <c r="D27" s="10">
        <f>SUM(D18:D26)</f>
        <v>11</v>
      </c>
      <c r="E27" s="23">
        <f>SUM(E18:E26)</f>
        <v>12</v>
      </c>
      <c r="F27" s="14"/>
      <c r="G27" s="10">
        <f>SUM(G18:G26)</f>
        <v>6879</v>
      </c>
      <c r="H27" s="33">
        <f>SUM(H18:H26)</f>
        <v>0</v>
      </c>
      <c r="I27" s="10">
        <f>SUM(I18:I26)</f>
        <v>6879</v>
      </c>
      <c r="J27" s="14"/>
      <c r="K27" s="14"/>
      <c r="L27" s="14"/>
      <c r="M27" s="13">
        <f>SUM(M18:M26)</f>
        <v>9030450</v>
      </c>
      <c r="N27" s="13">
        <f t="shared" si="3"/>
        <v>1312.7562145660706</v>
      </c>
      <c r="O27" s="10">
        <f>MAX(O18:O26)</f>
        <v>1</v>
      </c>
      <c r="P27" s="14"/>
    </row>
    <row r="28" spans="1:16" ht="25" x14ac:dyDescent="0.3">
      <c r="A28" s="4" t="s">
        <v>150</v>
      </c>
      <c r="G28" s="5" t="str">
        <f>IF(AND(COUNT(G18:G26)='Hard Costs'!$C$12,ABS(G27-$G$11)&lt;1),"OK","UNIT MIX CHANGED: update this list")</f>
        <v>OK</v>
      </c>
      <c r="I28" s="2" t="s">
        <v>151</v>
      </c>
    </row>
    <row r="29" spans="1:16" ht="25" x14ac:dyDescent="0.25">
      <c r="A29" s="4" t="s">
        <v>152</v>
      </c>
      <c r="M29" s="33">
        <f>IF(N(L18)&gt;0,0,H18*J18*(1+K18))+IF(N(L19)&gt;0,0,H19*J19*(1+K19))+IF(N(L20)&gt;0,0,H20*J20*(1+K20))+IF(N(L21)&gt;0,0,H21*J21*(1+K21))+IF(N(L22)&gt;0,0,H22*J22*(1+K22))+IF(N(L23)&gt;0,0,H23*J23*(1+K23))+IF(N(L24)&gt;0,0,H24*J24*(1+K24))+IF(N(L25)&gt;0,0,H25*J25*(1+K25))+IF(N(L26)&gt;0,0,H26*J26*(1+K26))</f>
        <v>0</v>
      </c>
      <c r="P29" s="19" t="s">
        <v>153</v>
      </c>
    </row>
    <row r="31" spans="1:16" ht="13" x14ac:dyDescent="0.3">
      <c r="A31" s="18" t="s">
        <v>154</v>
      </c>
    </row>
    <row r="32" spans="1:16" ht="13" x14ac:dyDescent="0.3">
      <c r="A32" s="4" t="s">
        <v>9</v>
      </c>
      <c r="G32" s="42">
        <f>'Hard Costs'!$C$9</f>
        <v>1717</v>
      </c>
      <c r="H32" s="4" t="s">
        <v>104</v>
      </c>
      <c r="I32" s="2" t="s">
        <v>155</v>
      </c>
    </row>
    <row r="33" spans="1:9" ht="13" x14ac:dyDescent="0.3">
      <c r="A33" s="4" t="s">
        <v>156</v>
      </c>
      <c r="G33" s="7">
        <v>65</v>
      </c>
      <c r="H33" s="4" t="s">
        <v>157</v>
      </c>
      <c r="I33" s="2" t="s">
        <v>158</v>
      </c>
    </row>
    <row r="34" spans="1:9" ht="13" x14ac:dyDescent="0.3">
      <c r="A34" s="4" t="s">
        <v>10</v>
      </c>
      <c r="G34" s="42">
        <f>'Hard Costs'!$C$22</f>
        <v>2616</v>
      </c>
      <c r="H34" s="4" t="s">
        <v>104</v>
      </c>
      <c r="I34" s="2" t="s">
        <v>159</v>
      </c>
    </row>
    <row r="35" spans="1:9" ht="13" x14ac:dyDescent="0.3">
      <c r="A35" s="4" t="s">
        <v>160</v>
      </c>
      <c r="G35" s="41">
        <v>40</v>
      </c>
      <c r="H35" s="4" t="s">
        <v>157</v>
      </c>
      <c r="I35" s="2" t="s">
        <v>161</v>
      </c>
    </row>
    <row r="36" spans="1:9" ht="13" x14ac:dyDescent="0.3">
      <c r="A36" s="4" t="s">
        <v>162</v>
      </c>
      <c r="G36" s="8">
        <v>0</v>
      </c>
      <c r="H36" s="4"/>
      <c r="I36" s="2" t="s">
        <v>163</v>
      </c>
    </row>
    <row r="37" spans="1:9" x14ac:dyDescent="0.25">
      <c r="A37" s="4" t="s">
        <v>164</v>
      </c>
      <c r="G37" s="8">
        <v>0.03</v>
      </c>
      <c r="H37" s="4" t="s">
        <v>165</v>
      </c>
    </row>
    <row r="38" spans="1:9" ht="25" x14ac:dyDescent="0.3">
      <c r="A38" s="4" t="s">
        <v>166</v>
      </c>
      <c r="G38" s="28">
        <f>'Hard Costs'!$C$17</f>
        <v>1857</v>
      </c>
      <c r="H38" s="4" t="s">
        <v>104</v>
      </c>
      <c r="I38" s="2" t="s">
        <v>167</v>
      </c>
    </row>
    <row r="39" spans="1:9" ht="13" x14ac:dyDescent="0.3">
      <c r="A39" s="4" t="s">
        <v>168</v>
      </c>
      <c r="G39" s="7">
        <v>25</v>
      </c>
      <c r="H39" s="4" t="s">
        <v>157</v>
      </c>
      <c r="I39" s="2" t="s">
        <v>169</v>
      </c>
    </row>
    <row r="40" spans="1:9" ht="13" x14ac:dyDescent="0.3">
      <c r="A40" s="4" t="s">
        <v>170</v>
      </c>
      <c r="G40" s="9">
        <f>($G$32*$G$33+$G$34*$G$35+$G$38*$G$39)*(1-$G$36-$G$37)</f>
        <v>254789.9</v>
      </c>
      <c r="H40" s="4" t="s">
        <v>171</v>
      </c>
      <c r="I40" s="2" t="s">
        <v>172</v>
      </c>
    </row>
    <row r="41" spans="1:9" x14ac:dyDescent="0.25">
      <c r="A41" s="4" t="s">
        <v>173</v>
      </c>
      <c r="G41" s="8">
        <v>0.05</v>
      </c>
      <c r="H41" s="4"/>
    </row>
    <row r="42" spans="1:9" x14ac:dyDescent="0.25">
      <c r="A42" s="4" t="s">
        <v>31</v>
      </c>
      <c r="G42" s="9">
        <f>$G$40/$G$41</f>
        <v>5095798</v>
      </c>
      <c r="H42" s="4" t="s">
        <v>174</v>
      </c>
    </row>
    <row r="43" spans="1:9" ht="25" x14ac:dyDescent="0.3">
      <c r="A43" s="4" t="s">
        <v>175</v>
      </c>
      <c r="G43" s="9">
        <f>($G$32*$G$33+$G$34*$G$35+$G$38*$G$39)*(1-0.05-$G$37)/$G$41</f>
        <v>4833128</v>
      </c>
      <c r="H43" s="4" t="s">
        <v>174</v>
      </c>
      <c r="I43" s="2" t="s">
        <v>176</v>
      </c>
    </row>
    <row r="45" spans="1:9" ht="13" x14ac:dyDescent="0.3">
      <c r="A45" s="18" t="s">
        <v>177</v>
      </c>
    </row>
    <row r="46" spans="1:9" x14ac:dyDescent="0.25">
      <c r="A46" s="4" t="s">
        <v>178</v>
      </c>
      <c r="G46" s="9">
        <f>$M$27</f>
        <v>9030450</v>
      </c>
      <c r="H46" s="4" t="s">
        <v>174</v>
      </c>
    </row>
    <row r="47" spans="1:9" x14ac:dyDescent="0.25">
      <c r="A47" s="4" t="s">
        <v>31</v>
      </c>
      <c r="G47" s="9">
        <f>$G$42</f>
        <v>5095798</v>
      </c>
      <c r="H47" s="4" t="s">
        <v>174</v>
      </c>
    </row>
    <row r="48" spans="1:9" ht="13" x14ac:dyDescent="0.3">
      <c r="A48" s="4" t="s">
        <v>33</v>
      </c>
      <c r="G48" s="13">
        <f>$G$46+$G$47</f>
        <v>14126248</v>
      </c>
      <c r="H48" s="4" t="s">
        <v>174</v>
      </c>
    </row>
    <row r="50" spans="1:16" ht="13" x14ac:dyDescent="0.3">
      <c r="A50" s="18" t="s">
        <v>179</v>
      </c>
    </row>
    <row r="51" spans="1:16" ht="13" x14ac:dyDescent="0.25">
      <c r="A51" s="3" t="s">
        <v>180</v>
      </c>
      <c r="B51" s="3"/>
      <c r="C51" s="3"/>
      <c r="D51" s="3"/>
      <c r="E51" s="3"/>
      <c r="F51" s="3"/>
      <c r="G51" s="3" t="s">
        <v>181</v>
      </c>
      <c r="H51" s="3" t="s">
        <v>182</v>
      </c>
      <c r="I51" s="3" t="s">
        <v>183</v>
      </c>
      <c r="J51" s="3" t="s">
        <v>184</v>
      </c>
      <c r="K51" s="3"/>
      <c r="L51" s="3"/>
      <c r="M51" s="3" t="s">
        <v>185</v>
      </c>
      <c r="N51" s="3" t="s">
        <v>186</v>
      </c>
      <c r="O51" s="3"/>
      <c r="P51" s="3" t="s">
        <v>24</v>
      </c>
    </row>
    <row r="52" spans="1:16" ht="13" x14ac:dyDescent="0.3">
      <c r="A52" s="18" t="s">
        <v>187</v>
      </c>
    </row>
    <row r="53" spans="1:16" ht="25" x14ac:dyDescent="0.25">
      <c r="A53" s="4" t="s">
        <v>188</v>
      </c>
      <c r="G53" s="9">
        <f>$M$27</f>
        <v>9030450</v>
      </c>
      <c r="H53" s="4" t="s">
        <v>189</v>
      </c>
      <c r="I53" s="8">
        <v>0.03</v>
      </c>
      <c r="J53" s="4" t="s">
        <v>190</v>
      </c>
      <c r="M53" s="9">
        <f t="shared" ref="M53:M60" si="4">G53*I53</f>
        <v>270913.5</v>
      </c>
      <c r="N53" s="11">
        <f t="shared" ref="N53:N61" si="5">M53/$G$48</f>
        <v>1.9178022359511174E-2</v>
      </c>
      <c r="P53" s="19" t="s">
        <v>191</v>
      </c>
    </row>
    <row r="54" spans="1:16" ht="25" x14ac:dyDescent="0.25">
      <c r="A54" s="4" t="s">
        <v>192</v>
      </c>
      <c r="G54" s="9">
        <f>$M$27</f>
        <v>9030450</v>
      </c>
      <c r="H54" s="4" t="s">
        <v>189</v>
      </c>
      <c r="I54" s="25">
        <v>1.4250000000000001E-2</v>
      </c>
      <c r="J54" s="4" t="s">
        <v>190</v>
      </c>
      <c r="M54" s="9">
        <f t="shared" si="4"/>
        <v>128683.91250000001</v>
      </c>
      <c r="N54" s="11">
        <f t="shared" si="5"/>
        <v>9.1095606207678079E-3</v>
      </c>
      <c r="P54" s="19" t="s">
        <v>193</v>
      </c>
    </row>
    <row r="55" spans="1:16" ht="25" x14ac:dyDescent="0.25">
      <c r="A55" s="4" t="s">
        <v>194</v>
      </c>
      <c r="G55" s="9">
        <f>$M$27</f>
        <v>9030450</v>
      </c>
      <c r="H55" s="4" t="s">
        <v>189</v>
      </c>
      <c r="I55" s="25">
        <v>4.0000000000000001E-3</v>
      </c>
      <c r="J55" s="4" t="s">
        <v>190</v>
      </c>
      <c r="M55" s="9">
        <f t="shared" si="4"/>
        <v>36121.800000000003</v>
      </c>
      <c r="N55" s="11">
        <f t="shared" si="5"/>
        <v>2.5570696479348233E-3</v>
      </c>
      <c r="P55" s="19" t="s">
        <v>195</v>
      </c>
    </row>
    <row r="56" spans="1:16" x14ac:dyDescent="0.25">
      <c r="A56" s="4" t="s">
        <v>196</v>
      </c>
      <c r="G56" s="10">
        <f>'Hard Costs'!$C$12</f>
        <v>9</v>
      </c>
      <c r="H56" s="4" t="s">
        <v>197</v>
      </c>
      <c r="I56" s="7">
        <v>2500</v>
      </c>
      <c r="J56" s="4" t="s">
        <v>198</v>
      </c>
      <c r="M56" s="9">
        <f t="shared" si="4"/>
        <v>22500</v>
      </c>
      <c r="N56" s="11">
        <f t="shared" si="5"/>
        <v>1.592779625559455E-3</v>
      </c>
    </row>
    <row r="57" spans="1:16" ht="25" x14ac:dyDescent="0.25">
      <c r="A57" s="4" t="s">
        <v>199</v>
      </c>
      <c r="G57" s="6">
        <v>1</v>
      </c>
      <c r="H57" s="4" t="s">
        <v>200</v>
      </c>
      <c r="I57" s="7">
        <v>25000</v>
      </c>
      <c r="J57" s="4" t="s">
        <v>201</v>
      </c>
      <c r="M57" s="9">
        <f t="shared" si="4"/>
        <v>25000</v>
      </c>
      <c r="N57" s="11">
        <f t="shared" si="5"/>
        <v>1.7697551395105056E-3</v>
      </c>
    </row>
    <row r="58" spans="1:16" ht="25" x14ac:dyDescent="0.25">
      <c r="A58" s="4" t="s">
        <v>202</v>
      </c>
      <c r="G58" s="6">
        <v>1</v>
      </c>
      <c r="H58" s="4" t="s">
        <v>200</v>
      </c>
      <c r="I58" s="7">
        <v>35000</v>
      </c>
      <c r="J58" s="4" t="s">
        <v>201</v>
      </c>
      <c r="M58" s="9">
        <f t="shared" si="4"/>
        <v>35000</v>
      </c>
      <c r="N58" s="11">
        <f t="shared" si="5"/>
        <v>2.4776571953147078E-3</v>
      </c>
      <c r="P58" s="19" t="s">
        <v>203</v>
      </c>
    </row>
    <row r="59" spans="1:16" x14ac:dyDescent="0.25">
      <c r="A59" s="4" t="s">
        <v>204</v>
      </c>
      <c r="G59" s="10">
        <f>'Hard Costs'!$H$34</f>
        <v>0</v>
      </c>
      <c r="H59" s="4" t="s">
        <v>197</v>
      </c>
      <c r="I59" s="7">
        <v>25000</v>
      </c>
      <c r="J59" s="4" t="s">
        <v>198</v>
      </c>
      <c r="M59" s="9">
        <f t="shared" si="4"/>
        <v>0</v>
      </c>
      <c r="N59" s="11">
        <f t="shared" si="5"/>
        <v>0</v>
      </c>
      <c r="P59" s="19" t="s">
        <v>205</v>
      </c>
    </row>
    <row r="60" spans="1:16" ht="25" x14ac:dyDescent="0.25">
      <c r="A60" s="4" t="s">
        <v>206</v>
      </c>
      <c r="G60" s="9">
        <f>$M$27</f>
        <v>9030450</v>
      </c>
      <c r="H60" s="4" t="s">
        <v>189</v>
      </c>
      <c r="I60" s="8">
        <v>0</v>
      </c>
      <c r="J60" s="4" t="s">
        <v>190</v>
      </c>
      <c r="M60" s="9">
        <f t="shared" si="4"/>
        <v>0</v>
      </c>
      <c r="N60" s="11">
        <f t="shared" si="5"/>
        <v>0</v>
      </c>
      <c r="P60" s="19" t="s">
        <v>207</v>
      </c>
    </row>
    <row r="61" spans="1:16" ht="13" x14ac:dyDescent="0.3">
      <c r="A61" s="12" t="s">
        <v>208</v>
      </c>
      <c r="B61" s="14"/>
      <c r="C61" s="14"/>
      <c r="D61" s="14"/>
      <c r="E61" s="14"/>
      <c r="F61" s="14"/>
      <c r="G61" s="14"/>
      <c r="H61" s="14"/>
      <c r="I61" s="14"/>
      <c r="J61" s="14"/>
      <c r="K61" s="14"/>
      <c r="L61" s="14"/>
      <c r="M61" s="13">
        <f>SUM(M53:M60)</f>
        <v>518219.21249999997</v>
      </c>
      <c r="N61" s="20">
        <f t="shared" si="5"/>
        <v>3.668484458859847E-2</v>
      </c>
      <c r="O61" s="14"/>
      <c r="P61" s="14"/>
    </row>
    <row r="63" spans="1:16" ht="13" x14ac:dyDescent="0.3">
      <c r="A63" s="18" t="s">
        <v>209</v>
      </c>
    </row>
    <row r="64" spans="1:16" x14ac:dyDescent="0.25">
      <c r="A64" s="4" t="s">
        <v>210</v>
      </c>
      <c r="G64" s="9">
        <f>$G$42</f>
        <v>5095798</v>
      </c>
      <c r="H64" s="4" t="s">
        <v>211</v>
      </c>
      <c r="I64" s="8">
        <v>0.06</v>
      </c>
      <c r="J64" s="4" t="s">
        <v>212</v>
      </c>
      <c r="M64" s="9">
        <f>G64*I64</f>
        <v>305747.88</v>
      </c>
      <c r="N64" s="11">
        <f>M64/$G$48</f>
        <v>2.1643955280977654E-2</v>
      </c>
    </row>
    <row r="65" spans="1:16" x14ac:dyDescent="0.25">
      <c r="A65" s="4" t="s">
        <v>213</v>
      </c>
      <c r="G65" s="9">
        <f>$G$42</f>
        <v>5095798</v>
      </c>
      <c r="H65" s="4" t="s">
        <v>211</v>
      </c>
      <c r="I65" s="25">
        <v>2.6249999999999999E-2</v>
      </c>
      <c r="J65" s="4" t="s">
        <v>212</v>
      </c>
      <c r="M65" s="9">
        <f>G65*I65</f>
        <v>133764.69750000001</v>
      </c>
      <c r="N65" s="11">
        <f>M65/$G$48</f>
        <v>9.4692304354277237E-3</v>
      </c>
      <c r="P65" s="19" t="s">
        <v>214</v>
      </c>
    </row>
    <row r="66" spans="1:16" x14ac:dyDescent="0.25">
      <c r="A66" s="4" t="s">
        <v>215</v>
      </c>
      <c r="G66" s="9">
        <f>$G$42</f>
        <v>5095798</v>
      </c>
      <c r="H66" s="4" t="s">
        <v>211</v>
      </c>
      <c r="I66" s="25">
        <v>6.4999999999999997E-3</v>
      </c>
      <c r="J66" s="4" t="s">
        <v>212</v>
      </c>
      <c r="M66" s="9">
        <f>G66*I66</f>
        <v>33122.686999999998</v>
      </c>
      <c r="N66" s="11">
        <f>M66/$G$48</f>
        <v>2.3447618221059123E-3</v>
      </c>
      <c r="P66" s="19" t="s">
        <v>216</v>
      </c>
    </row>
    <row r="67" spans="1:16" x14ac:dyDescent="0.25">
      <c r="A67" s="4" t="s">
        <v>217</v>
      </c>
      <c r="G67" s="9">
        <f>$G$42</f>
        <v>5095798</v>
      </c>
      <c r="H67" s="4" t="s">
        <v>211</v>
      </c>
      <c r="I67" s="8">
        <v>5.0000000000000001E-3</v>
      </c>
      <c r="J67" s="4" t="s">
        <v>212</v>
      </c>
      <c r="M67" s="9">
        <f>G67*I67</f>
        <v>25478.99</v>
      </c>
      <c r="N67" s="11">
        <f>M67/$G$48</f>
        <v>1.8036629400814711E-3</v>
      </c>
    </row>
    <row r="68" spans="1:16" ht="13" x14ac:dyDescent="0.3">
      <c r="A68" s="12" t="s">
        <v>218</v>
      </c>
      <c r="B68" s="14"/>
      <c r="C68" s="14"/>
      <c r="D68" s="14"/>
      <c r="E68" s="14"/>
      <c r="F68" s="14"/>
      <c r="G68" s="14"/>
      <c r="H68" s="14"/>
      <c r="I68" s="14"/>
      <c r="J68" s="14"/>
      <c r="K68" s="14"/>
      <c r="L68" s="14"/>
      <c r="M68" s="13">
        <f>SUM(M64:M67)</f>
        <v>498114.25449999998</v>
      </c>
      <c r="N68" s="20">
        <f>M68/$G$48</f>
        <v>3.5261610478592754E-2</v>
      </c>
      <c r="O68" s="14"/>
      <c r="P68" s="14"/>
    </row>
    <row r="70" spans="1:16" ht="13" x14ac:dyDescent="0.3">
      <c r="A70" s="18" t="s">
        <v>219</v>
      </c>
    </row>
    <row r="71" spans="1:16" ht="25" x14ac:dyDescent="0.25">
      <c r="A71" s="4" t="s">
        <v>220</v>
      </c>
      <c r="G71" s="6">
        <v>1</v>
      </c>
      <c r="H71" s="4" t="s">
        <v>200</v>
      </c>
      <c r="I71" s="7">
        <v>15000</v>
      </c>
      <c r="J71" s="4" t="s">
        <v>201</v>
      </c>
      <c r="M71" s="9">
        <f>G71*I71</f>
        <v>15000</v>
      </c>
      <c r="N71" s="11">
        <f>M71/$G$48</f>
        <v>1.0618530837063034E-3</v>
      </c>
      <c r="P71" s="19" t="s">
        <v>221</v>
      </c>
    </row>
    <row r="72" spans="1:16" ht="25" x14ac:dyDescent="0.25">
      <c r="A72" s="4" t="s">
        <v>222</v>
      </c>
      <c r="G72" s="10">
        <f>'Hard Costs'!$C$12</f>
        <v>9</v>
      </c>
      <c r="H72" s="4" t="s">
        <v>197</v>
      </c>
      <c r="I72" s="7">
        <v>1000</v>
      </c>
      <c r="J72" s="4" t="s">
        <v>198</v>
      </c>
      <c r="M72" s="9">
        <f>G72*I72</f>
        <v>9000</v>
      </c>
      <c r="N72" s="11">
        <f>M72/$G$48</f>
        <v>6.37111850223782E-4</v>
      </c>
      <c r="P72" s="19" t="s">
        <v>223</v>
      </c>
    </row>
    <row r="73" spans="1:16" ht="25" x14ac:dyDescent="0.25">
      <c r="A73" s="4" t="s">
        <v>224</v>
      </c>
      <c r="G73" s="6">
        <v>1</v>
      </c>
      <c r="H73" s="4" t="s">
        <v>200</v>
      </c>
      <c r="I73" s="7">
        <v>10000</v>
      </c>
      <c r="J73" s="4" t="s">
        <v>201</v>
      </c>
      <c r="M73" s="9">
        <f>G73*I73</f>
        <v>10000</v>
      </c>
      <c r="N73" s="11">
        <f>M73/$G$48</f>
        <v>7.0790205580420224E-4</v>
      </c>
    </row>
    <row r="74" spans="1:16" ht="13" x14ac:dyDescent="0.3">
      <c r="A74" s="12" t="s">
        <v>225</v>
      </c>
      <c r="B74" s="14"/>
      <c r="C74" s="14"/>
      <c r="D74" s="14"/>
      <c r="E74" s="14"/>
      <c r="F74" s="14"/>
      <c r="G74" s="14"/>
      <c r="H74" s="14"/>
      <c r="I74" s="14"/>
      <c r="J74" s="14"/>
      <c r="K74" s="14"/>
      <c r="L74" s="14"/>
      <c r="M74" s="13">
        <f>SUM(M71:M73)</f>
        <v>34000</v>
      </c>
      <c r="N74" s="20">
        <f>M74/$G$48</f>
        <v>2.4068669897342877E-3</v>
      </c>
      <c r="O74" s="14"/>
      <c r="P74" s="14"/>
    </row>
    <row r="76" spans="1:16" ht="13" x14ac:dyDescent="0.3">
      <c r="A76" s="15" t="s">
        <v>226</v>
      </c>
      <c r="B76" s="15"/>
      <c r="C76" s="15"/>
      <c r="D76" s="15"/>
      <c r="E76" s="15"/>
      <c r="F76" s="15"/>
      <c r="G76" s="15"/>
      <c r="H76" s="15"/>
      <c r="I76" s="15"/>
      <c r="J76" s="15"/>
      <c r="K76" s="15"/>
      <c r="L76" s="15"/>
      <c r="M76" s="16">
        <f>M61+M68+M74</f>
        <v>1050333.4669999999</v>
      </c>
      <c r="N76" s="21">
        <f>M76/$G$48</f>
        <v>7.4353322056925519E-2</v>
      </c>
      <c r="O76" s="15"/>
      <c r="P76" s="15"/>
    </row>
    <row r="78" spans="1:16" ht="13" x14ac:dyDescent="0.3">
      <c r="A78" s="15" t="s">
        <v>227</v>
      </c>
      <c r="B78" s="15"/>
      <c r="C78" s="15"/>
      <c r="D78" s="15"/>
      <c r="E78" s="15"/>
      <c r="F78" s="15"/>
      <c r="G78" s="15"/>
      <c r="H78" s="15"/>
      <c r="I78" s="15"/>
      <c r="J78" s="15"/>
      <c r="K78" s="15"/>
      <c r="L78" s="15"/>
      <c r="M78" s="16">
        <f>$G$48-M76</f>
        <v>13075914.533</v>
      </c>
      <c r="N78" s="21">
        <f>M78/$G$48</f>
        <v>0.92564667794307443</v>
      </c>
      <c r="O78" s="15"/>
      <c r="P78" s="15"/>
    </row>
    <row r="79" spans="1:16" ht="13" x14ac:dyDescent="0.3">
      <c r="A79" s="2" t="s">
        <v>228</v>
      </c>
    </row>
    <row r="81" spans="1:16" ht="13" x14ac:dyDescent="0.3">
      <c r="A81" s="18" t="s">
        <v>229</v>
      </c>
    </row>
    <row r="82" spans="1:16" x14ac:dyDescent="0.25">
      <c r="A82" s="4" t="s">
        <v>230</v>
      </c>
      <c r="M82" s="33">
        <f>$M$29*(1-$I$53-$I$54-$I$55-$I$60)</f>
        <v>0</v>
      </c>
      <c r="P82" s="19" t="s">
        <v>231</v>
      </c>
    </row>
    <row r="83" spans="1:16" x14ac:dyDescent="0.25">
      <c r="A83" s="4" t="s">
        <v>232</v>
      </c>
      <c r="M83" s="33">
        <f>($G$42-$G$43)*(1-I64-I65-I66-I67)</f>
        <v>236994.00750000001</v>
      </c>
      <c r="P83" s="19" t="s">
        <v>233</v>
      </c>
    </row>
  </sheetData>
  <pageMargins left="0.5" right="0.5" top="0.6" bottom="0.6" header="0.3" footer="0.3"/>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pageSetUpPr fitToPage="1"/>
  </sheetPr>
  <dimension ref="A1:AY112"/>
  <sheetViews>
    <sheetView showGridLines="0" workbookViewId="0">
      <pane ySplit="3" topLeftCell="A4" activePane="bottomLeft" state="frozen"/>
      <selection pane="bottomLeft"/>
    </sheetView>
  </sheetViews>
  <sheetFormatPr defaultRowHeight="12.5" outlineLevelRow="1" x14ac:dyDescent="0.25"/>
  <cols>
    <col min="1" max="1" width="50" customWidth="1"/>
    <col min="2" max="2" width="15" customWidth="1"/>
    <col min="3" max="3" width="10" customWidth="1"/>
    <col min="4" max="51" width="11.453125" customWidth="1"/>
  </cols>
  <sheetData>
    <row r="1" spans="1:4" ht="18" x14ac:dyDescent="0.4">
      <c r="A1" s="1" t="s">
        <v>234</v>
      </c>
    </row>
    <row r="2" spans="1:4" ht="13" x14ac:dyDescent="0.3">
      <c r="A2" s="2" t="s">
        <v>235</v>
      </c>
    </row>
    <row r="3" spans="1:4" ht="13" x14ac:dyDescent="0.3">
      <c r="A3" s="2" t="s">
        <v>236</v>
      </c>
    </row>
    <row r="5" spans="1:4" ht="13" x14ac:dyDescent="0.3">
      <c r="A5" s="18" t="s">
        <v>237</v>
      </c>
    </row>
    <row r="6" spans="1:4" ht="13" outlineLevel="1" x14ac:dyDescent="0.3">
      <c r="A6" s="4" t="s">
        <v>238</v>
      </c>
      <c r="B6" s="6">
        <v>6</v>
      </c>
      <c r="C6" s="4" t="s">
        <v>239</v>
      </c>
      <c r="D6" s="2" t="s">
        <v>240</v>
      </c>
    </row>
    <row r="7" spans="1:4" ht="13" outlineLevel="1" x14ac:dyDescent="0.3">
      <c r="A7" s="4" t="s">
        <v>241</v>
      </c>
      <c r="B7" s="6">
        <v>20</v>
      </c>
      <c r="C7" s="4" t="s">
        <v>239</v>
      </c>
      <c r="D7" s="2" t="s">
        <v>242</v>
      </c>
    </row>
    <row r="8" spans="1:4" ht="13" outlineLevel="1" x14ac:dyDescent="0.3">
      <c r="A8" s="4" t="s">
        <v>243</v>
      </c>
      <c r="B8" s="6">
        <v>6</v>
      </c>
      <c r="C8" s="4" t="s">
        <v>239</v>
      </c>
      <c r="D8" s="2" t="s">
        <v>244</v>
      </c>
    </row>
    <row r="9" spans="1:4" outlineLevel="1" x14ac:dyDescent="0.25">
      <c r="A9" s="4" t="s">
        <v>245</v>
      </c>
      <c r="B9" s="6">
        <v>1</v>
      </c>
      <c r="C9" s="4" t="s">
        <v>239</v>
      </c>
    </row>
    <row r="10" spans="1:4" ht="13" outlineLevel="1" x14ac:dyDescent="0.3">
      <c r="A10" s="4" t="s">
        <v>246</v>
      </c>
      <c r="B10" s="10">
        <f>$B$6+$B$7+$B$8</f>
        <v>32</v>
      </c>
      <c r="C10" s="4" t="s">
        <v>239</v>
      </c>
      <c r="D10" s="2" t="s">
        <v>247</v>
      </c>
    </row>
    <row r="12" spans="1:4" ht="13" outlineLevel="1" x14ac:dyDescent="0.3">
      <c r="A12" s="18" t="s">
        <v>248</v>
      </c>
    </row>
    <row r="13" spans="1:4" ht="13" outlineLevel="1" x14ac:dyDescent="0.3">
      <c r="A13" s="4" t="s">
        <v>249</v>
      </c>
      <c r="B13" s="8">
        <v>0.7</v>
      </c>
      <c r="C13" s="4"/>
      <c r="D13" s="2" t="s">
        <v>250</v>
      </c>
    </row>
    <row r="14" spans="1:4" ht="13" outlineLevel="1" x14ac:dyDescent="0.3">
      <c r="A14" s="4" t="s">
        <v>251</v>
      </c>
      <c r="B14" s="8">
        <v>9.5000000000000001E-2</v>
      </c>
      <c r="C14" s="4" t="s">
        <v>252</v>
      </c>
      <c r="D14" s="2" t="s">
        <v>253</v>
      </c>
    </row>
    <row r="15" spans="1:4" ht="37.5" outlineLevel="1" x14ac:dyDescent="0.3">
      <c r="A15" s="4" t="s">
        <v>254</v>
      </c>
      <c r="B15" s="8">
        <v>0.01</v>
      </c>
      <c r="C15" s="4" t="s">
        <v>255</v>
      </c>
      <c r="D15" s="2" t="s">
        <v>256</v>
      </c>
    </row>
    <row r="16" spans="1:4" ht="13" outlineLevel="1" x14ac:dyDescent="0.3">
      <c r="A16" s="4" t="s">
        <v>257</v>
      </c>
      <c r="B16" s="8">
        <v>0.1</v>
      </c>
      <c r="C16" s="4" t="s">
        <v>258</v>
      </c>
      <c r="D16" s="2" t="s">
        <v>259</v>
      </c>
    </row>
    <row r="18" spans="1:4" ht="13" outlineLevel="1" x14ac:dyDescent="0.3">
      <c r="A18" s="18" t="s">
        <v>260</v>
      </c>
    </row>
    <row r="19" spans="1:4" ht="13" outlineLevel="1" x14ac:dyDescent="0.3">
      <c r="A19" s="4" t="s">
        <v>261</v>
      </c>
      <c r="B19" s="8">
        <v>0.08</v>
      </c>
      <c r="C19" s="4" t="s">
        <v>252</v>
      </c>
      <c r="D19" s="2" t="s">
        <v>262</v>
      </c>
    </row>
    <row r="20" spans="1:4" ht="25" outlineLevel="1" x14ac:dyDescent="0.3">
      <c r="A20" s="4" t="s">
        <v>263</v>
      </c>
      <c r="B20" s="8">
        <v>0.3</v>
      </c>
      <c r="C20" s="4" t="s">
        <v>264</v>
      </c>
      <c r="D20" s="2" t="s">
        <v>265</v>
      </c>
    </row>
    <row r="21" spans="1:4" ht="13" outlineLevel="1" x14ac:dyDescent="0.3">
      <c r="A21" s="4" t="s">
        <v>266</v>
      </c>
      <c r="B21" s="8">
        <v>0.1</v>
      </c>
      <c r="C21" s="4" t="s">
        <v>267</v>
      </c>
      <c r="D21" s="2" t="s">
        <v>268</v>
      </c>
    </row>
    <row r="22" spans="1:4" ht="13" outlineLevel="1" x14ac:dyDescent="0.3">
      <c r="A22" s="4" t="s">
        <v>51</v>
      </c>
      <c r="B22" s="8">
        <v>0</v>
      </c>
      <c r="C22" s="4" t="s">
        <v>267</v>
      </c>
      <c r="D22" s="2" t="s">
        <v>269</v>
      </c>
    </row>
    <row r="24" spans="1:4" ht="13" outlineLevel="1" x14ac:dyDescent="0.3">
      <c r="A24" s="18" t="s">
        <v>270</v>
      </c>
    </row>
    <row r="25" spans="1:4" ht="13" outlineLevel="1" x14ac:dyDescent="0.3">
      <c r="A25" s="4" t="s">
        <v>271</v>
      </c>
      <c r="B25" s="26">
        <f>'Soft Costs'!$C$7</f>
        <v>4000000</v>
      </c>
      <c r="C25" s="4" t="s">
        <v>174</v>
      </c>
      <c r="D25" s="2" t="s">
        <v>272</v>
      </c>
    </row>
    <row r="26" spans="1:4" ht="13" outlineLevel="1" x14ac:dyDescent="0.3">
      <c r="A26" s="4" t="s">
        <v>41</v>
      </c>
      <c r="B26" s="26">
        <f>'Soft Costs'!$G$24</f>
        <v>0</v>
      </c>
      <c r="C26" s="4" t="s">
        <v>174</v>
      </c>
      <c r="D26" s="2" t="s">
        <v>273</v>
      </c>
    </row>
    <row r="27" spans="1:4" outlineLevel="1" x14ac:dyDescent="0.25">
      <c r="A27" s="4" t="s">
        <v>274</v>
      </c>
      <c r="B27" s="26">
        <f>'Hard Costs'!$G$121</f>
        <v>6533100</v>
      </c>
      <c r="C27" s="4" t="s">
        <v>174</v>
      </c>
    </row>
    <row r="28" spans="1:4" ht="13" outlineLevel="1" x14ac:dyDescent="0.3">
      <c r="A28" s="4" t="s">
        <v>275</v>
      </c>
      <c r="B28" s="26">
        <f>'Soft Costs'!$G$49</f>
        <v>1549116.8000000003</v>
      </c>
      <c r="C28" s="4" t="s">
        <v>174</v>
      </c>
      <c r="D28" s="2" t="s">
        <v>276</v>
      </c>
    </row>
    <row r="29" spans="1:4" ht="13" outlineLevel="1" x14ac:dyDescent="0.3">
      <c r="A29" s="4" t="s">
        <v>47</v>
      </c>
      <c r="B29" s="26">
        <f>'Soft Costs'!$G$51</f>
        <v>260492.59420800002</v>
      </c>
      <c r="C29" s="4" t="s">
        <v>174</v>
      </c>
      <c r="D29" s="2" t="s">
        <v>277</v>
      </c>
    </row>
    <row r="30" spans="1:4" outlineLevel="1" x14ac:dyDescent="0.25">
      <c r="A30" s="4" t="s">
        <v>278</v>
      </c>
      <c r="B30" s="26">
        <f>'Rev &amp; Unit-by-Unit'!$M$27</f>
        <v>9030450</v>
      </c>
      <c r="C30" s="4" t="s">
        <v>174</v>
      </c>
    </row>
    <row r="31" spans="1:4" ht="13" outlineLevel="1" x14ac:dyDescent="0.3">
      <c r="A31" s="4" t="s">
        <v>208</v>
      </c>
      <c r="B31" s="26">
        <f>'Rev &amp; Unit-by-Unit'!$M$61</f>
        <v>518219.21249999997</v>
      </c>
      <c r="C31" s="4" t="s">
        <v>174</v>
      </c>
      <c r="D31" s="2" t="s">
        <v>279</v>
      </c>
    </row>
    <row r="32" spans="1:4" outlineLevel="1" x14ac:dyDescent="0.25">
      <c r="A32" s="4" t="s">
        <v>280</v>
      </c>
      <c r="B32" s="26">
        <f>'Rev &amp; Unit-by-Unit'!$G$42</f>
        <v>5095798</v>
      </c>
      <c r="C32" s="4" t="s">
        <v>174</v>
      </c>
    </row>
    <row r="33" spans="1:4" outlineLevel="1" x14ac:dyDescent="0.25">
      <c r="A33" s="4" t="s">
        <v>281</v>
      </c>
      <c r="B33" s="26">
        <f>'Rev &amp; Unit-by-Unit'!$M$68</f>
        <v>498114.25449999998</v>
      </c>
      <c r="C33" s="4" t="s">
        <v>174</v>
      </c>
    </row>
    <row r="34" spans="1:4" ht="13" outlineLevel="1" x14ac:dyDescent="0.3">
      <c r="A34" s="4" t="s">
        <v>282</v>
      </c>
      <c r="B34" s="26">
        <f>'Rev &amp; Unit-by-Unit'!$M$74+'Soft Costs'!$G$59</f>
        <v>96665.5</v>
      </c>
      <c r="C34" s="4" t="s">
        <v>174</v>
      </c>
      <c r="D34" s="2" t="s">
        <v>283</v>
      </c>
    </row>
    <row r="36" spans="1:4" ht="13" outlineLevel="1" x14ac:dyDescent="0.3">
      <c r="A36" s="18" t="s">
        <v>284</v>
      </c>
    </row>
    <row r="37" spans="1:4" ht="13" outlineLevel="1" x14ac:dyDescent="0.3">
      <c r="A37" s="4" t="s">
        <v>285</v>
      </c>
      <c r="B37" s="9">
        <f>$B$25+$B$26+$B$27+$B$28</f>
        <v>12082216.800000001</v>
      </c>
      <c r="C37" s="4" t="s">
        <v>174</v>
      </c>
      <c r="D37" s="2" t="s">
        <v>286</v>
      </c>
    </row>
    <row r="38" spans="1:4" ht="13" outlineLevel="1" x14ac:dyDescent="0.3">
      <c r="A38" s="4" t="s">
        <v>287</v>
      </c>
      <c r="B38" s="9">
        <f>$B$13*$B$37*(1+$B$16)</f>
        <v>9303306.9360000007</v>
      </c>
      <c r="C38" s="4" t="s">
        <v>174</v>
      </c>
      <c r="D38" s="2" t="s">
        <v>288</v>
      </c>
    </row>
    <row r="39" spans="1:4" outlineLevel="1" x14ac:dyDescent="0.25">
      <c r="A39" s="4" t="s">
        <v>48</v>
      </c>
      <c r="B39" s="9">
        <f>$B$15*$B$38</f>
        <v>93033.069360000009</v>
      </c>
      <c r="C39" s="4" t="s">
        <v>174</v>
      </c>
    </row>
    <row r="40" spans="1:4" ht="13" outlineLevel="1" x14ac:dyDescent="0.3">
      <c r="A40" s="4" t="s">
        <v>289</v>
      </c>
      <c r="B40" s="9">
        <f>$B$25+$B$26+$B$28*($B$6+1)/($B$6+$B$7+1)</f>
        <v>4401622.8740740744</v>
      </c>
      <c r="C40" s="4" t="s">
        <v>174</v>
      </c>
      <c r="D40" s="2" t="s">
        <v>290</v>
      </c>
    </row>
    <row r="41" spans="1:4" ht="13" outlineLevel="1" x14ac:dyDescent="0.3">
      <c r="A41" s="4" t="s">
        <v>291</v>
      </c>
      <c r="B41" s="9">
        <f>MAX((1-$B$13)*($B$37+$B$29),$B$40)</f>
        <v>4401622.8740740744</v>
      </c>
      <c r="C41" s="4" t="s">
        <v>174</v>
      </c>
      <c r="D41" s="2" t="s">
        <v>292</v>
      </c>
    </row>
    <row r="42" spans="1:4" outlineLevel="1" x14ac:dyDescent="0.25">
      <c r="A42" s="4" t="s">
        <v>51</v>
      </c>
      <c r="B42" s="9">
        <f>$B$22*$B$41</f>
        <v>0</v>
      </c>
      <c r="C42" s="4" t="s">
        <v>174</v>
      </c>
    </row>
    <row r="43" spans="1:4" ht="13" outlineLevel="1" x14ac:dyDescent="0.3">
      <c r="A43" s="4" t="s">
        <v>293</v>
      </c>
      <c r="B43" s="9">
        <f>$B$41+$B$42</f>
        <v>4401622.8740740744</v>
      </c>
      <c r="C43" s="4" t="s">
        <v>174</v>
      </c>
      <c r="D43" s="2" t="s">
        <v>294</v>
      </c>
    </row>
    <row r="45" spans="1:4" ht="13" x14ac:dyDescent="0.3">
      <c r="A45" s="18" t="s">
        <v>295</v>
      </c>
    </row>
    <row r="46" spans="1:4" x14ac:dyDescent="0.25">
      <c r="A46" s="4" t="s">
        <v>296</v>
      </c>
      <c r="B46" s="9">
        <f>B78+B82</f>
        <v>13035860.548407018</v>
      </c>
      <c r="C46" s="4" t="s">
        <v>174</v>
      </c>
    </row>
    <row r="47" spans="1:4" x14ac:dyDescent="0.25">
      <c r="A47" s="4" t="s">
        <v>297</v>
      </c>
      <c r="B47" s="9">
        <f>B82</f>
        <v>600118.08483901853</v>
      </c>
      <c r="C47" s="4" t="s">
        <v>174</v>
      </c>
    </row>
    <row r="48" spans="1:4" ht="13" x14ac:dyDescent="0.3">
      <c r="A48" s="4" t="s">
        <v>70</v>
      </c>
      <c r="B48" s="9">
        <f>MAX(D93:AY93)</f>
        <v>8634237.674332941</v>
      </c>
      <c r="C48" s="4" t="s">
        <v>174</v>
      </c>
      <c r="D48" s="2" t="s">
        <v>298</v>
      </c>
    </row>
    <row r="49" spans="1:4" ht="13" x14ac:dyDescent="0.3">
      <c r="A49" s="4" t="s">
        <v>299</v>
      </c>
      <c r="B49" s="9">
        <f>$B$38-B48</f>
        <v>669069.26166705973</v>
      </c>
      <c r="C49" s="4" t="s">
        <v>174</v>
      </c>
      <c r="D49" s="2" t="s">
        <v>300</v>
      </c>
    </row>
    <row r="50" spans="1:4" x14ac:dyDescent="0.25">
      <c r="A50" s="4" t="s">
        <v>71</v>
      </c>
      <c r="B50" s="9">
        <f>B81</f>
        <v>4401622.8740740744</v>
      </c>
      <c r="C50" s="4" t="s">
        <v>174</v>
      </c>
    </row>
    <row r="51" spans="1:4" x14ac:dyDescent="0.25">
      <c r="A51" s="4" t="s">
        <v>301</v>
      </c>
      <c r="B51" s="9">
        <f>B90</f>
        <v>13013249.033</v>
      </c>
      <c r="C51" s="4" t="s">
        <v>174</v>
      </c>
    </row>
    <row r="52" spans="1:4" ht="13" x14ac:dyDescent="0.3">
      <c r="A52" s="4" t="s">
        <v>56</v>
      </c>
      <c r="B52" s="9">
        <f>B99</f>
        <v>-22611.51540701557</v>
      </c>
      <c r="C52" s="4" t="s">
        <v>174</v>
      </c>
      <c r="D52" s="2" t="s">
        <v>302</v>
      </c>
    </row>
    <row r="53" spans="1:4" x14ac:dyDescent="0.25">
      <c r="A53" s="4" t="s">
        <v>57</v>
      </c>
      <c r="B53" s="11">
        <f>B52/B46</f>
        <v>-1.7345625417708765E-3</v>
      </c>
      <c r="C53" s="4"/>
    </row>
    <row r="54" spans="1:4" x14ac:dyDescent="0.25">
      <c r="A54" s="4" t="s">
        <v>74</v>
      </c>
      <c r="B54" s="27">
        <f>B98/B81</f>
        <v>0.99486291396289328</v>
      </c>
      <c r="C54" s="4"/>
    </row>
    <row r="55" spans="1:4" ht="13" x14ac:dyDescent="0.3">
      <c r="A55" s="4" t="s">
        <v>75</v>
      </c>
      <c r="B55" s="11">
        <f>B52/B50</f>
        <v>-5.1370860371067403E-3</v>
      </c>
      <c r="C55" s="4"/>
      <c r="D55" s="2" t="s">
        <v>303</v>
      </c>
    </row>
    <row r="56" spans="1:4" ht="13" x14ac:dyDescent="0.3">
      <c r="A56" s="4" t="s">
        <v>77</v>
      </c>
      <c r="B56" s="11">
        <f>IFERROR((1+IRR(D99:AY99))^12-1,"n/a")</f>
        <v>-2.3193882013247125E-3</v>
      </c>
      <c r="C56" s="4" t="s">
        <v>252</v>
      </c>
      <c r="D56" s="2" t="s">
        <v>304</v>
      </c>
    </row>
    <row r="57" spans="1:4" ht="13" x14ac:dyDescent="0.3">
      <c r="A57" s="4" t="s">
        <v>79</v>
      </c>
      <c r="B57" s="11">
        <f>IFERROR((1+IRR(D112:AY112))^12-1,"n/a")</f>
        <v>5.9801144244321813E-2</v>
      </c>
      <c r="C57" s="4" t="s">
        <v>252</v>
      </c>
      <c r="D57" s="2" t="s">
        <v>305</v>
      </c>
    </row>
    <row r="58" spans="1:4" x14ac:dyDescent="0.25">
      <c r="A58" s="4" t="s">
        <v>306</v>
      </c>
      <c r="B58" s="9">
        <f>B108</f>
        <v>-20350.363866314568</v>
      </c>
      <c r="C58" s="4" t="s">
        <v>174</v>
      </c>
    </row>
    <row r="59" spans="1:4" x14ac:dyDescent="0.25">
      <c r="A59" s="4" t="s">
        <v>82</v>
      </c>
      <c r="B59" s="27">
        <f>(B108+B81*(1-$B$21))/(B81*(1-$B$21))</f>
        <v>0.99486291396289306</v>
      </c>
      <c r="C59" s="4"/>
    </row>
    <row r="60" spans="1:4" x14ac:dyDescent="0.25">
      <c r="A60" s="4" t="s">
        <v>80</v>
      </c>
      <c r="B60" s="11">
        <f>IFERROR((1+IRR(D108:AY108))^12-1,"n/a")</f>
        <v>-2.3193882013247125E-3</v>
      </c>
      <c r="C60" s="4" t="s">
        <v>252</v>
      </c>
    </row>
    <row r="61" spans="1:4" x14ac:dyDescent="0.25">
      <c r="A61" s="4" t="s">
        <v>307</v>
      </c>
      <c r="B61" s="9">
        <f>B106</f>
        <v>0</v>
      </c>
      <c r="C61" s="4" t="s">
        <v>174</v>
      </c>
    </row>
    <row r="62" spans="1:4" x14ac:dyDescent="0.25">
      <c r="A62" s="4" t="s">
        <v>308</v>
      </c>
      <c r="B62" s="9">
        <f>B109</f>
        <v>-2261.1515407016977</v>
      </c>
      <c r="C62" s="4" t="s">
        <v>174</v>
      </c>
    </row>
    <row r="63" spans="1:4" ht="13" x14ac:dyDescent="0.3">
      <c r="A63" s="4" t="s">
        <v>309</v>
      </c>
      <c r="B63" s="11">
        <f>IFERROR((1+IRR(D109:AY109))^12-1,"n/a")</f>
        <v>-2.3193882013247125E-3</v>
      </c>
      <c r="C63" s="4" t="s">
        <v>252</v>
      </c>
      <c r="D63" s="2" t="s">
        <v>310</v>
      </c>
    </row>
    <row r="64" spans="1:4" x14ac:dyDescent="0.25">
      <c r="A64" s="4" t="s">
        <v>311</v>
      </c>
      <c r="B64" s="9">
        <f>AY95</f>
        <v>0</v>
      </c>
      <c r="C64" s="4" t="s">
        <v>174</v>
      </c>
    </row>
    <row r="66" spans="1:51" ht="13" x14ac:dyDescent="0.3">
      <c r="A66" s="18" t="s">
        <v>312</v>
      </c>
    </row>
    <row r="67" spans="1:51" ht="13" x14ac:dyDescent="0.3">
      <c r="A67" s="3" t="s">
        <v>313</v>
      </c>
      <c r="B67" s="3" t="s">
        <v>149</v>
      </c>
      <c r="C67" s="3"/>
      <c r="D67" s="29">
        <v>0</v>
      </c>
      <c r="E67" s="29">
        <v>1</v>
      </c>
      <c r="F67" s="29">
        <v>2</v>
      </c>
      <c r="G67" s="29">
        <v>3</v>
      </c>
      <c r="H67" s="29">
        <v>4</v>
      </c>
      <c r="I67" s="29">
        <v>5</v>
      </c>
      <c r="J67" s="29">
        <v>6</v>
      </c>
      <c r="K67" s="29">
        <v>7</v>
      </c>
      <c r="L67" s="29">
        <v>8</v>
      </c>
      <c r="M67" s="29">
        <v>9</v>
      </c>
      <c r="N67" s="29">
        <v>10</v>
      </c>
      <c r="O67" s="29">
        <v>11</v>
      </c>
      <c r="P67" s="29">
        <v>12</v>
      </c>
      <c r="Q67" s="29">
        <v>13</v>
      </c>
      <c r="R67" s="29">
        <v>14</v>
      </c>
      <c r="S67" s="29">
        <v>15</v>
      </c>
      <c r="T67" s="29">
        <v>16</v>
      </c>
      <c r="U67" s="29">
        <v>17</v>
      </c>
      <c r="V67" s="29">
        <v>18</v>
      </c>
      <c r="W67" s="29">
        <v>19</v>
      </c>
      <c r="X67" s="29">
        <v>20</v>
      </c>
      <c r="Y67" s="29">
        <v>21</v>
      </c>
      <c r="Z67" s="29">
        <v>22</v>
      </c>
      <c r="AA67" s="29">
        <v>23</v>
      </c>
      <c r="AB67" s="29">
        <v>24</v>
      </c>
      <c r="AC67" s="29">
        <v>25</v>
      </c>
      <c r="AD67" s="29">
        <v>26</v>
      </c>
      <c r="AE67" s="29">
        <v>27</v>
      </c>
      <c r="AF67" s="29">
        <v>28</v>
      </c>
      <c r="AG67" s="29">
        <v>29</v>
      </c>
      <c r="AH67" s="29">
        <v>30</v>
      </c>
      <c r="AI67" s="29">
        <v>31</v>
      </c>
      <c r="AJ67" s="29">
        <v>32</v>
      </c>
      <c r="AK67" s="29">
        <v>33</v>
      </c>
      <c r="AL67" s="29">
        <v>34</v>
      </c>
      <c r="AM67" s="29">
        <v>35</v>
      </c>
      <c r="AN67" s="29">
        <v>36</v>
      </c>
      <c r="AO67" s="29">
        <v>37</v>
      </c>
      <c r="AP67" s="29">
        <v>38</v>
      </c>
      <c r="AQ67" s="29">
        <v>39</v>
      </c>
      <c r="AR67" s="29">
        <v>40</v>
      </c>
      <c r="AS67" s="29">
        <v>41</v>
      </c>
      <c r="AT67" s="29">
        <v>42</v>
      </c>
      <c r="AU67" s="29">
        <v>43</v>
      </c>
      <c r="AV67" s="29">
        <v>44</v>
      </c>
      <c r="AW67" s="29">
        <v>45</v>
      </c>
      <c r="AX67" s="29">
        <v>46</v>
      </c>
      <c r="AY67" s="29">
        <v>47</v>
      </c>
    </row>
    <row r="68" spans="1:51" ht="13" x14ac:dyDescent="0.3">
      <c r="A68" s="4" t="s">
        <v>314</v>
      </c>
      <c r="D68" s="30" t="str">
        <f t="shared" ref="D68:AY68" si="0">IF(D$67=0,"Close",IF(D$67&lt;=$B$6,"Pre-dev",IF(D$67&lt;=$B$6+$B$7,"Build",IF(D$67&lt;=$B$10,"Sell",""))))</f>
        <v>Close</v>
      </c>
      <c r="E68" s="30" t="str">
        <f t="shared" si="0"/>
        <v>Pre-dev</v>
      </c>
      <c r="F68" s="30" t="str">
        <f t="shared" si="0"/>
        <v>Pre-dev</v>
      </c>
      <c r="G68" s="30" t="str">
        <f t="shared" si="0"/>
        <v>Pre-dev</v>
      </c>
      <c r="H68" s="30" t="str">
        <f t="shared" si="0"/>
        <v>Pre-dev</v>
      </c>
      <c r="I68" s="30" t="str">
        <f t="shared" si="0"/>
        <v>Pre-dev</v>
      </c>
      <c r="J68" s="30" t="str">
        <f t="shared" si="0"/>
        <v>Pre-dev</v>
      </c>
      <c r="K68" s="30" t="str">
        <f t="shared" si="0"/>
        <v>Build</v>
      </c>
      <c r="L68" s="30" t="str">
        <f t="shared" si="0"/>
        <v>Build</v>
      </c>
      <c r="M68" s="30" t="str">
        <f t="shared" si="0"/>
        <v>Build</v>
      </c>
      <c r="N68" s="30" t="str">
        <f t="shared" si="0"/>
        <v>Build</v>
      </c>
      <c r="O68" s="30" t="str">
        <f t="shared" si="0"/>
        <v>Build</v>
      </c>
      <c r="P68" s="30" t="str">
        <f t="shared" si="0"/>
        <v>Build</v>
      </c>
      <c r="Q68" s="30" t="str">
        <f t="shared" si="0"/>
        <v>Build</v>
      </c>
      <c r="R68" s="30" t="str">
        <f t="shared" si="0"/>
        <v>Build</v>
      </c>
      <c r="S68" s="30" t="str">
        <f t="shared" si="0"/>
        <v>Build</v>
      </c>
      <c r="T68" s="30" t="str">
        <f t="shared" si="0"/>
        <v>Build</v>
      </c>
      <c r="U68" s="30" t="str">
        <f t="shared" si="0"/>
        <v>Build</v>
      </c>
      <c r="V68" s="30" t="str">
        <f t="shared" si="0"/>
        <v>Build</v>
      </c>
      <c r="W68" s="30" t="str">
        <f t="shared" si="0"/>
        <v>Build</v>
      </c>
      <c r="X68" s="30" t="str">
        <f t="shared" si="0"/>
        <v>Build</v>
      </c>
      <c r="Y68" s="30" t="str">
        <f t="shared" si="0"/>
        <v>Build</v>
      </c>
      <c r="Z68" s="30" t="str">
        <f t="shared" si="0"/>
        <v>Build</v>
      </c>
      <c r="AA68" s="30" t="str">
        <f t="shared" si="0"/>
        <v>Build</v>
      </c>
      <c r="AB68" s="30" t="str">
        <f t="shared" si="0"/>
        <v>Build</v>
      </c>
      <c r="AC68" s="30" t="str">
        <f t="shared" si="0"/>
        <v>Build</v>
      </c>
      <c r="AD68" s="30" t="str">
        <f t="shared" si="0"/>
        <v>Build</v>
      </c>
      <c r="AE68" s="30" t="str">
        <f t="shared" si="0"/>
        <v>Sell</v>
      </c>
      <c r="AF68" s="30" t="str">
        <f t="shared" si="0"/>
        <v>Sell</v>
      </c>
      <c r="AG68" s="30" t="str">
        <f t="shared" si="0"/>
        <v>Sell</v>
      </c>
      <c r="AH68" s="30" t="str">
        <f t="shared" si="0"/>
        <v>Sell</v>
      </c>
      <c r="AI68" s="30" t="str">
        <f t="shared" si="0"/>
        <v>Sell</v>
      </c>
      <c r="AJ68" s="30" t="str">
        <f t="shared" si="0"/>
        <v>Sell</v>
      </c>
      <c r="AK68" s="30" t="str">
        <f t="shared" si="0"/>
        <v/>
      </c>
      <c r="AL68" s="30" t="str">
        <f t="shared" si="0"/>
        <v/>
      </c>
      <c r="AM68" s="30" t="str">
        <f t="shared" si="0"/>
        <v/>
      </c>
      <c r="AN68" s="30" t="str">
        <f t="shared" si="0"/>
        <v/>
      </c>
      <c r="AO68" s="30" t="str">
        <f t="shared" si="0"/>
        <v/>
      </c>
      <c r="AP68" s="30" t="str">
        <f t="shared" si="0"/>
        <v/>
      </c>
      <c r="AQ68" s="30" t="str">
        <f t="shared" si="0"/>
        <v/>
      </c>
      <c r="AR68" s="30" t="str">
        <f t="shared" si="0"/>
        <v/>
      </c>
      <c r="AS68" s="30" t="str">
        <f t="shared" si="0"/>
        <v/>
      </c>
      <c r="AT68" s="30" t="str">
        <f t="shared" si="0"/>
        <v/>
      </c>
      <c r="AU68" s="30" t="str">
        <f t="shared" si="0"/>
        <v/>
      </c>
      <c r="AV68" s="30" t="str">
        <f t="shared" si="0"/>
        <v/>
      </c>
      <c r="AW68" s="30" t="str">
        <f t="shared" si="0"/>
        <v/>
      </c>
      <c r="AX68" s="30" t="str">
        <f t="shared" si="0"/>
        <v/>
      </c>
      <c r="AY68" s="30" t="str">
        <f t="shared" si="0"/>
        <v/>
      </c>
    </row>
    <row r="70" spans="1:51" ht="13" x14ac:dyDescent="0.3">
      <c r="A70" s="18" t="s">
        <v>315</v>
      </c>
    </row>
    <row r="71" spans="1:51" x14ac:dyDescent="0.25">
      <c r="A71" s="4" t="s">
        <v>40</v>
      </c>
      <c r="B71" s="9">
        <f t="shared" ref="B71:B78" si="1">SUM(D71:AY71)</f>
        <v>4000000</v>
      </c>
      <c r="D71" s="9">
        <f t="shared" ref="D71:AY71" si="2">IF(D$67=0,$B$25,0)</f>
        <v>4000000</v>
      </c>
      <c r="E71" s="9">
        <f t="shared" si="2"/>
        <v>0</v>
      </c>
      <c r="F71" s="9">
        <f t="shared" si="2"/>
        <v>0</v>
      </c>
      <c r="G71" s="9">
        <f t="shared" si="2"/>
        <v>0</v>
      </c>
      <c r="H71" s="9">
        <f t="shared" si="2"/>
        <v>0</v>
      </c>
      <c r="I71" s="9">
        <f t="shared" si="2"/>
        <v>0</v>
      </c>
      <c r="J71" s="9">
        <f t="shared" si="2"/>
        <v>0</v>
      </c>
      <c r="K71" s="9">
        <f t="shared" si="2"/>
        <v>0</v>
      </c>
      <c r="L71" s="9">
        <f t="shared" si="2"/>
        <v>0</v>
      </c>
      <c r="M71" s="9">
        <f t="shared" si="2"/>
        <v>0</v>
      </c>
      <c r="N71" s="9">
        <f t="shared" si="2"/>
        <v>0</v>
      </c>
      <c r="O71" s="9">
        <f t="shared" si="2"/>
        <v>0</v>
      </c>
      <c r="P71" s="9">
        <f t="shared" si="2"/>
        <v>0</v>
      </c>
      <c r="Q71" s="9">
        <f t="shared" si="2"/>
        <v>0</v>
      </c>
      <c r="R71" s="9">
        <f t="shared" si="2"/>
        <v>0</v>
      </c>
      <c r="S71" s="9">
        <f t="shared" si="2"/>
        <v>0</v>
      </c>
      <c r="T71" s="9">
        <f t="shared" si="2"/>
        <v>0</v>
      </c>
      <c r="U71" s="9">
        <f t="shared" si="2"/>
        <v>0</v>
      </c>
      <c r="V71" s="9">
        <f t="shared" si="2"/>
        <v>0</v>
      </c>
      <c r="W71" s="9">
        <f t="shared" si="2"/>
        <v>0</v>
      </c>
      <c r="X71" s="9">
        <f t="shared" si="2"/>
        <v>0</v>
      </c>
      <c r="Y71" s="9">
        <f t="shared" si="2"/>
        <v>0</v>
      </c>
      <c r="Z71" s="9">
        <f t="shared" si="2"/>
        <v>0</v>
      </c>
      <c r="AA71" s="9">
        <f t="shared" si="2"/>
        <v>0</v>
      </c>
      <c r="AB71" s="9">
        <f t="shared" si="2"/>
        <v>0</v>
      </c>
      <c r="AC71" s="9">
        <f t="shared" si="2"/>
        <v>0</v>
      </c>
      <c r="AD71" s="9">
        <f t="shared" si="2"/>
        <v>0</v>
      </c>
      <c r="AE71" s="9">
        <f t="shared" si="2"/>
        <v>0</v>
      </c>
      <c r="AF71" s="9">
        <f t="shared" si="2"/>
        <v>0</v>
      </c>
      <c r="AG71" s="9">
        <f t="shared" si="2"/>
        <v>0</v>
      </c>
      <c r="AH71" s="9">
        <f t="shared" si="2"/>
        <v>0</v>
      </c>
      <c r="AI71" s="9">
        <f t="shared" si="2"/>
        <v>0</v>
      </c>
      <c r="AJ71" s="9">
        <f t="shared" si="2"/>
        <v>0</v>
      </c>
      <c r="AK71" s="9">
        <f t="shared" si="2"/>
        <v>0</v>
      </c>
      <c r="AL71" s="9">
        <f t="shared" si="2"/>
        <v>0</v>
      </c>
      <c r="AM71" s="9">
        <f t="shared" si="2"/>
        <v>0</v>
      </c>
      <c r="AN71" s="9">
        <f t="shared" si="2"/>
        <v>0</v>
      </c>
      <c r="AO71" s="9">
        <f t="shared" si="2"/>
        <v>0</v>
      </c>
      <c r="AP71" s="9">
        <f t="shared" si="2"/>
        <v>0</v>
      </c>
      <c r="AQ71" s="9">
        <f t="shared" si="2"/>
        <v>0</v>
      </c>
      <c r="AR71" s="9">
        <f t="shared" si="2"/>
        <v>0</v>
      </c>
      <c r="AS71" s="9">
        <f t="shared" si="2"/>
        <v>0</v>
      </c>
      <c r="AT71" s="9">
        <f t="shared" si="2"/>
        <v>0</v>
      </c>
      <c r="AU71" s="9">
        <f t="shared" si="2"/>
        <v>0</v>
      </c>
      <c r="AV71" s="9">
        <f t="shared" si="2"/>
        <v>0</v>
      </c>
      <c r="AW71" s="9">
        <f t="shared" si="2"/>
        <v>0</v>
      </c>
      <c r="AX71" s="9">
        <f t="shared" si="2"/>
        <v>0</v>
      </c>
      <c r="AY71" s="9">
        <f t="shared" si="2"/>
        <v>0</v>
      </c>
    </row>
    <row r="72" spans="1:51" x14ac:dyDescent="0.25">
      <c r="A72" s="4" t="s">
        <v>316</v>
      </c>
      <c r="B72" s="9">
        <f t="shared" si="1"/>
        <v>0</v>
      </c>
      <c r="D72" s="9">
        <f t="shared" ref="D72:AY72" si="3">IF(D$67=$B$6,$B$26,0)</f>
        <v>0</v>
      </c>
      <c r="E72" s="9">
        <f t="shared" si="3"/>
        <v>0</v>
      </c>
      <c r="F72" s="9">
        <f t="shared" si="3"/>
        <v>0</v>
      </c>
      <c r="G72" s="9">
        <f t="shared" si="3"/>
        <v>0</v>
      </c>
      <c r="H72" s="9">
        <f t="shared" si="3"/>
        <v>0</v>
      </c>
      <c r="I72" s="9">
        <f t="shared" si="3"/>
        <v>0</v>
      </c>
      <c r="J72" s="9">
        <f t="shared" si="3"/>
        <v>0</v>
      </c>
      <c r="K72" s="9">
        <f t="shared" si="3"/>
        <v>0</v>
      </c>
      <c r="L72" s="9">
        <f t="shared" si="3"/>
        <v>0</v>
      </c>
      <c r="M72" s="9">
        <f t="shared" si="3"/>
        <v>0</v>
      </c>
      <c r="N72" s="9">
        <f t="shared" si="3"/>
        <v>0</v>
      </c>
      <c r="O72" s="9">
        <f t="shared" si="3"/>
        <v>0</v>
      </c>
      <c r="P72" s="9">
        <f t="shared" si="3"/>
        <v>0</v>
      </c>
      <c r="Q72" s="9">
        <f t="shared" si="3"/>
        <v>0</v>
      </c>
      <c r="R72" s="9">
        <f t="shared" si="3"/>
        <v>0</v>
      </c>
      <c r="S72" s="9">
        <f t="shared" si="3"/>
        <v>0</v>
      </c>
      <c r="T72" s="9">
        <f t="shared" si="3"/>
        <v>0</v>
      </c>
      <c r="U72" s="9">
        <f t="shared" si="3"/>
        <v>0</v>
      </c>
      <c r="V72" s="9">
        <f t="shared" si="3"/>
        <v>0</v>
      </c>
      <c r="W72" s="9">
        <f t="shared" si="3"/>
        <v>0</v>
      </c>
      <c r="X72" s="9">
        <f t="shared" si="3"/>
        <v>0</v>
      </c>
      <c r="Y72" s="9">
        <f t="shared" si="3"/>
        <v>0</v>
      </c>
      <c r="Z72" s="9">
        <f t="shared" si="3"/>
        <v>0</v>
      </c>
      <c r="AA72" s="9">
        <f t="shared" si="3"/>
        <v>0</v>
      </c>
      <c r="AB72" s="9">
        <f t="shared" si="3"/>
        <v>0</v>
      </c>
      <c r="AC72" s="9">
        <f t="shared" si="3"/>
        <v>0</v>
      </c>
      <c r="AD72" s="9">
        <f t="shared" si="3"/>
        <v>0</v>
      </c>
      <c r="AE72" s="9">
        <f t="shared" si="3"/>
        <v>0</v>
      </c>
      <c r="AF72" s="9">
        <f t="shared" si="3"/>
        <v>0</v>
      </c>
      <c r="AG72" s="9">
        <f t="shared" si="3"/>
        <v>0</v>
      </c>
      <c r="AH72" s="9">
        <f t="shared" si="3"/>
        <v>0</v>
      </c>
      <c r="AI72" s="9">
        <f t="shared" si="3"/>
        <v>0</v>
      </c>
      <c r="AJ72" s="9">
        <f t="shared" si="3"/>
        <v>0</v>
      </c>
      <c r="AK72" s="9">
        <f t="shared" si="3"/>
        <v>0</v>
      </c>
      <c r="AL72" s="9">
        <f t="shared" si="3"/>
        <v>0</v>
      </c>
      <c r="AM72" s="9">
        <f t="shared" si="3"/>
        <v>0</v>
      </c>
      <c r="AN72" s="9">
        <f t="shared" si="3"/>
        <v>0</v>
      </c>
      <c r="AO72" s="9">
        <f t="shared" si="3"/>
        <v>0</v>
      </c>
      <c r="AP72" s="9">
        <f t="shared" si="3"/>
        <v>0</v>
      </c>
      <c r="AQ72" s="9">
        <f t="shared" si="3"/>
        <v>0</v>
      </c>
      <c r="AR72" s="9">
        <f t="shared" si="3"/>
        <v>0</v>
      </c>
      <c r="AS72" s="9">
        <f t="shared" si="3"/>
        <v>0</v>
      </c>
      <c r="AT72" s="9">
        <f t="shared" si="3"/>
        <v>0</v>
      </c>
      <c r="AU72" s="9">
        <f t="shared" si="3"/>
        <v>0</v>
      </c>
      <c r="AV72" s="9">
        <f t="shared" si="3"/>
        <v>0</v>
      </c>
      <c r="AW72" s="9">
        <f t="shared" si="3"/>
        <v>0</v>
      </c>
      <c r="AX72" s="9">
        <f t="shared" si="3"/>
        <v>0</v>
      </c>
      <c r="AY72" s="9">
        <f t="shared" si="3"/>
        <v>0</v>
      </c>
    </row>
    <row r="73" spans="1:51" x14ac:dyDescent="0.25">
      <c r="A73" s="4" t="s">
        <v>317</v>
      </c>
      <c r="B73" s="9">
        <f t="shared" si="1"/>
        <v>6533099.9999999981</v>
      </c>
      <c r="D73" s="9">
        <f>Gantt!L79</f>
        <v>0</v>
      </c>
      <c r="E73" s="9">
        <f>Gantt!M79</f>
        <v>0</v>
      </c>
      <c r="F73" s="9">
        <f>Gantt!N79</f>
        <v>0</v>
      </c>
      <c r="G73" s="9">
        <f>Gantt!O79</f>
        <v>0</v>
      </c>
      <c r="H73" s="9">
        <f>Gantt!P79</f>
        <v>0</v>
      </c>
      <c r="I73" s="9">
        <f>Gantt!Q79</f>
        <v>0</v>
      </c>
      <c r="J73" s="9">
        <f>Gantt!R79</f>
        <v>0</v>
      </c>
      <c r="K73" s="9">
        <f>Gantt!S79</f>
        <v>29695.909090909096</v>
      </c>
      <c r="L73" s="9">
        <f>Gantt!T79</f>
        <v>156072.67882947845</v>
      </c>
      <c r="M73" s="9">
        <f>Gantt!U79</f>
        <v>156072.67882947845</v>
      </c>
      <c r="N73" s="9">
        <f>Gantt!V79</f>
        <v>191251.9296827724</v>
      </c>
      <c r="O73" s="9">
        <f>Gantt!W79</f>
        <v>93465.654784839979</v>
      </c>
      <c r="P73" s="9">
        <f>Gantt!X79</f>
        <v>200112.43046966501</v>
      </c>
      <c r="Q73" s="9">
        <f>Gantt!Y79</f>
        <v>170601.44765667157</v>
      </c>
      <c r="R73" s="9">
        <f>Gantt!Z79</f>
        <v>248140.44764386007</v>
      </c>
      <c r="S73" s="9">
        <f>Gantt!AA79</f>
        <v>319674.82082791696</v>
      </c>
      <c r="T73" s="9">
        <f>Gantt!AB79</f>
        <v>375821.12666056445</v>
      </c>
      <c r="U73" s="9">
        <f>Gantt!AC79</f>
        <v>442267.20843652741</v>
      </c>
      <c r="V73" s="9">
        <f>Gantt!AD79</f>
        <v>449210.64078889886</v>
      </c>
      <c r="W73" s="9">
        <f>Gantt!AE79</f>
        <v>473931.45264048444</v>
      </c>
      <c r="X73" s="9">
        <f>Gantt!AF79</f>
        <v>364464.66984070186</v>
      </c>
      <c r="Y73" s="9">
        <f>Gantt!AG79</f>
        <v>434020.33993230219</v>
      </c>
      <c r="Z73" s="9">
        <f>Gantt!AH79</f>
        <v>504995.06681060966</v>
      </c>
      <c r="AA73" s="9">
        <f>Gantt!AI79</f>
        <v>657435.52269607538</v>
      </c>
      <c r="AB73" s="9">
        <f>Gantt!AJ79</f>
        <v>644337.60173604032</v>
      </c>
      <c r="AC73" s="9">
        <f>Gantt!AK79</f>
        <v>507806.79174387112</v>
      </c>
      <c r="AD73" s="9">
        <f>Gantt!AL79</f>
        <v>113721.58089833165</v>
      </c>
      <c r="AE73" s="9">
        <f>Gantt!AM79</f>
        <v>0</v>
      </c>
      <c r="AF73" s="9">
        <f>Gantt!AN79</f>
        <v>0</v>
      </c>
      <c r="AG73" s="9">
        <f>Gantt!AO79</f>
        <v>0</v>
      </c>
      <c r="AH73" s="9">
        <f>Gantt!AP79</f>
        <v>0</v>
      </c>
      <c r="AI73" s="9">
        <f>Gantt!AQ79</f>
        <v>0</v>
      </c>
      <c r="AJ73" s="9">
        <f>Gantt!AR79</f>
        <v>0</v>
      </c>
      <c r="AK73" s="9">
        <f>Gantt!AS79</f>
        <v>0</v>
      </c>
      <c r="AL73" s="9">
        <f>Gantt!AT79</f>
        <v>0</v>
      </c>
      <c r="AM73" s="9">
        <f>Gantt!AU79</f>
        <v>0</v>
      </c>
      <c r="AN73" s="9">
        <f>Gantt!AV79</f>
        <v>0</v>
      </c>
      <c r="AO73" s="9">
        <f>Gantt!AW79</f>
        <v>0</v>
      </c>
      <c r="AP73" s="9">
        <f>Gantt!AX79</f>
        <v>0</v>
      </c>
      <c r="AQ73" s="9">
        <f>Gantt!AY79</f>
        <v>0</v>
      </c>
      <c r="AR73" s="9">
        <f>Gantt!AZ79</f>
        <v>0</v>
      </c>
      <c r="AS73" s="9">
        <f>Gantt!BA79</f>
        <v>0</v>
      </c>
      <c r="AT73" s="9">
        <f>Gantt!BB79</f>
        <v>0</v>
      </c>
      <c r="AU73" s="9">
        <f>Gantt!BC79</f>
        <v>0</v>
      </c>
      <c r="AV73" s="9">
        <f>Gantt!BD79</f>
        <v>0</v>
      </c>
      <c r="AW73" s="9">
        <f>Gantt!BE79</f>
        <v>0</v>
      </c>
      <c r="AX73" s="9">
        <f>Gantt!BF79</f>
        <v>0</v>
      </c>
      <c r="AY73" s="9">
        <f>Gantt!BG79</f>
        <v>0</v>
      </c>
    </row>
    <row r="74" spans="1:51" x14ac:dyDescent="0.25">
      <c r="A74" s="4" t="s">
        <v>318</v>
      </c>
      <c r="B74" s="9">
        <f t="shared" si="1"/>
        <v>1549116.8000000003</v>
      </c>
      <c r="D74" s="9">
        <f t="shared" ref="D74:AY74" si="4">IF(D$67&lt;=$B$6+$B$7,$B$28/($B$6+$B$7+1),0)</f>
        <v>57374.696296296308</v>
      </c>
      <c r="E74" s="9">
        <f t="shared" si="4"/>
        <v>57374.696296296308</v>
      </c>
      <c r="F74" s="9">
        <f t="shared" si="4"/>
        <v>57374.696296296308</v>
      </c>
      <c r="G74" s="9">
        <f t="shared" si="4"/>
        <v>57374.696296296308</v>
      </c>
      <c r="H74" s="9">
        <f t="shared" si="4"/>
        <v>57374.696296296308</v>
      </c>
      <c r="I74" s="9">
        <f t="shared" si="4"/>
        <v>57374.696296296308</v>
      </c>
      <c r="J74" s="9">
        <f t="shared" si="4"/>
        <v>57374.696296296308</v>
      </c>
      <c r="K74" s="9">
        <f t="shared" si="4"/>
        <v>57374.696296296308</v>
      </c>
      <c r="L74" s="9">
        <f t="shared" si="4"/>
        <v>57374.696296296308</v>
      </c>
      <c r="M74" s="9">
        <f t="shared" si="4"/>
        <v>57374.696296296308</v>
      </c>
      <c r="N74" s="9">
        <f t="shared" si="4"/>
        <v>57374.696296296308</v>
      </c>
      <c r="O74" s="9">
        <f t="shared" si="4"/>
        <v>57374.696296296308</v>
      </c>
      <c r="P74" s="9">
        <f t="shared" si="4"/>
        <v>57374.696296296308</v>
      </c>
      <c r="Q74" s="9">
        <f t="shared" si="4"/>
        <v>57374.696296296308</v>
      </c>
      <c r="R74" s="9">
        <f t="shared" si="4"/>
        <v>57374.696296296308</v>
      </c>
      <c r="S74" s="9">
        <f t="shared" si="4"/>
        <v>57374.696296296308</v>
      </c>
      <c r="T74" s="9">
        <f t="shared" si="4"/>
        <v>57374.696296296308</v>
      </c>
      <c r="U74" s="9">
        <f t="shared" si="4"/>
        <v>57374.696296296308</v>
      </c>
      <c r="V74" s="9">
        <f t="shared" si="4"/>
        <v>57374.696296296308</v>
      </c>
      <c r="W74" s="9">
        <f t="shared" si="4"/>
        <v>57374.696296296308</v>
      </c>
      <c r="X74" s="9">
        <f t="shared" si="4"/>
        <v>57374.696296296308</v>
      </c>
      <c r="Y74" s="9">
        <f t="shared" si="4"/>
        <v>57374.696296296308</v>
      </c>
      <c r="Z74" s="9">
        <f t="shared" si="4"/>
        <v>57374.696296296308</v>
      </c>
      <c r="AA74" s="9">
        <f t="shared" si="4"/>
        <v>57374.696296296308</v>
      </c>
      <c r="AB74" s="9">
        <f t="shared" si="4"/>
        <v>57374.696296296308</v>
      </c>
      <c r="AC74" s="9">
        <f t="shared" si="4"/>
        <v>57374.696296296308</v>
      </c>
      <c r="AD74" s="9">
        <f t="shared" si="4"/>
        <v>57374.696296296308</v>
      </c>
      <c r="AE74" s="9">
        <f t="shared" si="4"/>
        <v>0</v>
      </c>
      <c r="AF74" s="9">
        <f t="shared" si="4"/>
        <v>0</v>
      </c>
      <c r="AG74" s="9">
        <f t="shared" si="4"/>
        <v>0</v>
      </c>
      <c r="AH74" s="9">
        <f t="shared" si="4"/>
        <v>0</v>
      </c>
      <c r="AI74" s="9">
        <f t="shared" si="4"/>
        <v>0</v>
      </c>
      <c r="AJ74" s="9">
        <f t="shared" si="4"/>
        <v>0</v>
      </c>
      <c r="AK74" s="9">
        <f t="shared" si="4"/>
        <v>0</v>
      </c>
      <c r="AL74" s="9">
        <f t="shared" si="4"/>
        <v>0</v>
      </c>
      <c r="AM74" s="9">
        <f t="shared" si="4"/>
        <v>0</v>
      </c>
      <c r="AN74" s="9">
        <f t="shared" si="4"/>
        <v>0</v>
      </c>
      <c r="AO74" s="9">
        <f t="shared" si="4"/>
        <v>0</v>
      </c>
      <c r="AP74" s="9">
        <f t="shared" si="4"/>
        <v>0</v>
      </c>
      <c r="AQ74" s="9">
        <f t="shared" si="4"/>
        <v>0</v>
      </c>
      <c r="AR74" s="9">
        <f t="shared" si="4"/>
        <v>0</v>
      </c>
      <c r="AS74" s="9">
        <f t="shared" si="4"/>
        <v>0</v>
      </c>
      <c r="AT74" s="9">
        <f t="shared" si="4"/>
        <v>0</v>
      </c>
      <c r="AU74" s="9">
        <f t="shared" si="4"/>
        <v>0</v>
      </c>
      <c r="AV74" s="9">
        <f t="shared" si="4"/>
        <v>0</v>
      </c>
      <c r="AW74" s="9">
        <f t="shared" si="4"/>
        <v>0</v>
      </c>
      <c r="AX74" s="9">
        <f t="shared" si="4"/>
        <v>0</v>
      </c>
      <c r="AY74" s="9">
        <f t="shared" si="4"/>
        <v>0</v>
      </c>
    </row>
    <row r="75" spans="1:51" x14ac:dyDescent="0.25">
      <c r="A75" s="4" t="s">
        <v>319</v>
      </c>
      <c r="B75" s="9">
        <f t="shared" si="1"/>
        <v>260492.59420800002</v>
      </c>
      <c r="D75" s="9">
        <f t="shared" ref="D75:AY75" si="5">IF(D$67=$B$6+1,$B$29,0)</f>
        <v>0</v>
      </c>
      <c r="E75" s="9">
        <f t="shared" si="5"/>
        <v>0</v>
      </c>
      <c r="F75" s="9">
        <f t="shared" si="5"/>
        <v>0</v>
      </c>
      <c r="G75" s="9">
        <f t="shared" si="5"/>
        <v>0</v>
      </c>
      <c r="H75" s="9">
        <f t="shared" si="5"/>
        <v>0</v>
      </c>
      <c r="I75" s="9">
        <f t="shared" si="5"/>
        <v>0</v>
      </c>
      <c r="J75" s="9">
        <f t="shared" si="5"/>
        <v>0</v>
      </c>
      <c r="K75" s="9">
        <f t="shared" si="5"/>
        <v>260492.59420800002</v>
      </c>
      <c r="L75" s="9">
        <f t="shared" si="5"/>
        <v>0</v>
      </c>
      <c r="M75" s="9">
        <f t="shared" si="5"/>
        <v>0</v>
      </c>
      <c r="N75" s="9">
        <f t="shared" si="5"/>
        <v>0</v>
      </c>
      <c r="O75" s="9">
        <f t="shared" si="5"/>
        <v>0</v>
      </c>
      <c r="P75" s="9">
        <f t="shared" si="5"/>
        <v>0</v>
      </c>
      <c r="Q75" s="9">
        <f t="shared" si="5"/>
        <v>0</v>
      </c>
      <c r="R75" s="9">
        <f t="shared" si="5"/>
        <v>0</v>
      </c>
      <c r="S75" s="9">
        <f t="shared" si="5"/>
        <v>0</v>
      </c>
      <c r="T75" s="9">
        <f t="shared" si="5"/>
        <v>0</v>
      </c>
      <c r="U75" s="9">
        <f t="shared" si="5"/>
        <v>0</v>
      </c>
      <c r="V75" s="9">
        <f t="shared" si="5"/>
        <v>0</v>
      </c>
      <c r="W75" s="9">
        <f t="shared" si="5"/>
        <v>0</v>
      </c>
      <c r="X75" s="9">
        <f t="shared" si="5"/>
        <v>0</v>
      </c>
      <c r="Y75" s="9">
        <f t="shared" si="5"/>
        <v>0</v>
      </c>
      <c r="Z75" s="9">
        <f t="shared" si="5"/>
        <v>0</v>
      </c>
      <c r="AA75" s="9">
        <f t="shared" si="5"/>
        <v>0</v>
      </c>
      <c r="AB75" s="9">
        <f t="shared" si="5"/>
        <v>0</v>
      </c>
      <c r="AC75" s="9">
        <f t="shared" si="5"/>
        <v>0</v>
      </c>
      <c r="AD75" s="9">
        <f t="shared" si="5"/>
        <v>0</v>
      </c>
      <c r="AE75" s="9">
        <f t="shared" si="5"/>
        <v>0</v>
      </c>
      <c r="AF75" s="9">
        <f t="shared" si="5"/>
        <v>0</v>
      </c>
      <c r="AG75" s="9">
        <f t="shared" si="5"/>
        <v>0</v>
      </c>
      <c r="AH75" s="9">
        <f t="shared" si="5"/>
        <v>0</v>
      </c>
      <c r="AI75" s="9">
        <f t="shared" si="5"/>
        <v>0</v>
      </c>
      <c r="AJ75" s="9">
        <f t="shared" si="5"/>
        <v>0</v>
      </c>
      <c r="AK75" s="9">
        <f t="shared" si="5"/>
        <v>0</v>
      </c>
      <c r="AL75" s="9">
        <f t="shared" si="5"/>
        <v>0</v>
      </c>
      <c r="AM75" s="9">
        <f t="shared" si="5"/>
        <v>0</v>
      </c>
      <c r="AN75" s="9">
        <f t="shared" si="5"/>
        <v>0</v>
      </c>
      <c r="AO75" s="9">
        <f t="shared" si="5"/>
        <v>0</v>
      </c>
      <c r="AP75" s="9">
        <f t="shared" si="5"/>
        <v>0</v>
      </c>
      <c r="AQ75" s="9">
        <f t="shared" si="5"/>
        <v>0</v>
      </c>
      <c r="AR75" s="9">
        <f t="shared" si="5"/>
        <v>0</v>
      </c>
      <c r="AS75" s="9">
        <f t="shared" si="5"/>
        <v>0</v>
      </c>
      <c r="AT75" s="9">
        <f t="shared" si="5"/>
        <v>0</v>
      </c>
      <c r="AU75" s="9">
        <f t="shared" si="5"/>
        <v>0</v>
      </c>
      <c r="AV75" s="9">
        <f t="shared" si="5"/>
        <v>0</v>
      </c>
      <c r="AW75" s="9">
        <f t="shared" si="5"/>
        <v>0</v>
      </c>
      <c r="AX75" s="9">
        <f t="shared" si="5"/>
        <v>0</v>
      </c>
      <c r="AY75" s="9">
        <f t="shared" si="5"/>
        <v>0</v>
      </c>
    </row>
    <row r="76" spans="1:51" x14ac:dyDescent="0.25">
      <c r="A76" s="4" t="s">
        <v>48</v>
      </c>
      <c r="B76" s="9">
        <f t="shared" si="1"/>
        <v>93033.069360000009</v>
      </c>
      <c r="D76" s="9">
        <f t="shared" ref="D76:AY76" si="6">IF(D$67=$B$6+1,$B$39,0)</f>
        <v>0</v>
      </c>
      <c r="E76" s="9">
        <f t="shared" si="6"/>
        <v>0</v>
      </c>
      <c r="F76" s="9">
        <f t="shared" si="6"/>
        <v>0</v>
      </c>
      <c r="G76" s="9">
        <f t="shared" si="6"/>
        <v>0</v>
      </c>
      <c r="H76" s="9">
        <f t="shared" si="6"/>
        <v>0</v>
      </c>
      <c r="I76" s="9">
        <f t="shared" si="6"/>
        <v>0</v>
      </c>
      <c r="J76" s="9">
        <f t="shared" si="6"/>
        <v>0</v>
      </c>
      <c r="K76" s="9">
        <f t="shared" si="6"/>
        <v>93033.069360000009</v>
      </c>
      <c r="L76" s="9">
        <f t="shared" si="6"/>
        <v>0</v>
      </c>
      <c r="M76" s="9">
        <f t="shared" si="6"/>
        <v>0</v>
      </c>
      <c r="N76" s="9">
        <f t="shared" si="6"/>
        <v>0</v>
      </c>
      <c r="O76" s="9">
        <f t="shared" si="6"/>
        <v>0</v>
      </c>
      <c r="P76" s="9">
        <f t="shared" si="6"/>
        <v>0</v>
      </c>
      <c r="Q76" s="9">
        <f t="shared" si="6"/>
        <v>0</v>
      </c>
      <c r="R76" s="9">
        <f t="shared" si="6"/>
        <v>0</v>
      </c>
      <c r="S76" s="9">
        <f t="shared" si="6"/>
        <v>0</v>
      </c>
      <c r="T76" s="9">
        <f t="shared" si="6"/>
        <v>0</v>
      </c>
      <c r="U76" s="9">
        <f t="shared" si="6"/>
        <v>0</v>
      </c>
      <c r="V76" s="9">
        <f t="shared" si="6"/>
        <v>0</v>
      </c>
      <c r="W76" s="9">
        <f t="shared" si="6"/>
        <v>0</v>
      </c>
      <c r="X76" s="9">
        <f t="shared" si="6"/>
        <v>0</v>
      </c>
      <c r="Y76" s="9">
        <f t="shared" si="6"/>
        <v>0</v>
      </c>
      <c r="Z76" s="9">
        <f t="shared" si="6"/>
        <v>0</v>
      </c>
      <c r="AA76" s="9">
        <f t="shared" si="6"/>
        <v>0</v>
      </c>
      <c r="AB76" s="9">
        <f t="shared" si="6"/>
        <v>0</v>
      </c>
      <c r="AC76" s="9">
        <f t="shared" si="6"/>
        <v>0</v>
      </c>
      <c r="AD76" s="9">
        <f t="shared" si="6"/>
        <v>0</v>
      </c>
      <c r="AE76" s="9">
        <f t="shared" si="6"/>
        <v>0</v>
      </c>
      <c r="AF76" s="9">
        <f t="shared" si="6"/>
        <v>0</v>
      </c>
      <c r="AG76" s="9">
        <f t="shared" si="6"/>
        <v>0</v>
      </c>
      <c r="AH76" s="9">
        <f t="shared" si="6"/>
        <v>0</v>
      </c>
      <c r="AI76" s="9">
        <f t="shared" si="6"/>
        <v>0</v>
      </c>
      <c r="AJ76" s="9">
        <f t="shared" si="6"/>
        <v>0</v>
      </c>
      <c r="AK76" s="9">
        <f t="shared" si="6"/>
        <v>0</v>
      </c>
      <c r="AL76" s="9">
        <f t="shared" si="6"/>
        <v>0</v>
      </c>
      <c r="AM76" s="9">
        <f t="shared" si="6"/>
        <v>0</v>
      </c>
      <c r="AN76" s="9">
        <f t="shared" si="6"/>
        <v>0</v>
      </c>
      <c r="AO76" s="9">
        <f t="shared" si="6"/>
        <v>0</v>
      </c>
      <c r="AP76" s="9">
        <f t="shared" si="6"/>
        <v>0</v>
      </c>
      <c r="AQ76" s="9">
        <f t="shared" si="6"/>
        <v>0</v>
      </c>
      <c r="AR76" s="9">
        <f t="shared" si="6"/>
        <v>0</v>
      </c>
      <c r="AS76" s="9">
        <f t="shared" si="6"/>
        <v>0</v>
      </c>
      <c r="AT76" s="9">
        <f t="shared" si="6"/>
        <v>0</v>
      </c>
      <c r="AU76" s="9">
        <f t="shared" si="6"/>
        <v>0</v>
      </c>
      <c r="AV76" s="9">
        <f t="shared" si="6"/>
        <v>0</v>
      </c>
      <c r="AW76" s="9">
        <f t="shared" si="6"/>
        <v>0</v>
      </c>
      <c r="AX76" s="9">
        <f t="shared" si="6"/>
        <v>0</v>
      </c>
      <c r="AY76" s="9">
        <f t="shared" si="6"/>
        <v>0</v>
      </c>
    </row>
    <row r="77" spans="1:51" x14ac:dyDescent="0.25">
      <c r="A77" s="4" t="s">
        <v>51</v>
      </c>
      <c r="B77" s="9">
        <f t="shared" si="1"/>
        <v>0</v>
      </c>
      <c r="D77" s="9">
        <f t="shared" ref="D77:AY77" si="7">IF(D$67=0,$B$42,0)</f>
        <v>0</v>
      </c>
      <c r="E77" s="9">
        <f t="shared" si="7"/>
        <v>0</v>
      </c>
      <c r="F77" s="9">
        <f t="shared" si="7"/>
        <v>0</v>
      </c>
      <c r="G77" s="9">
        <f t="shared" si="7"/>
        <v>0</v>
      </c>
      <c r="H77" s="9">
        <f t="shared" si="7"/>
        <v>0</v>
      </c>
      <c r="I77" s="9">
        <f t="shared" si="7"/>
        <v>0</v>
      </c>
      <c r="J77" s="9">
        <f t="shared" si="7"/>
        <v>0</v>
      </c>
      <c r="K77" s="9">
        <f t="shared" si="7"/>
        <v>0</v>
      </c>
      <c r="L77" s="9">
        <f t="shared" si="7"/>
        <v>0</v>
      </c>
      <c r="M77" s="9">
        <f t="shared" si="7"/>
        <v>0</v>
      </c>
      <c r="N77" s="9">
        <f t="shared" si="7"/>
        <v>0</v>
      </c>
      <c r="O77" s="9">
        <f t="shared" si="7"/>
        <v>0</v>
      </c>
      <c r="P77" s="9">
        <f t="shared" si="7"/>
        <v>0</v>
      </c>
      <c r="Q77" s="9">
        <f t="shared" si="7"/>
        <v>0</v>
      </c>
      <c r="R77" s="9">
        <f t="shared" si="7"/>
        <v>0</v>
      </c>
      <c r="S77" s="9">
        <f t="shared" si="7"/>
        <v>0</v>
      </c>
      <c r="T77" s="9">
        <f t="shared" si="7"/>
        <v>0</v>
      </c>
      <c r="U77" s="9">
        <f t="shared" si="7"/>
        <v>0</v>
      </c>
      <c r="V77" s="9">
        <f t="shared" si="7"/>
        <v>0</v>
      </c>
      <c r="W77" s="9">
        <f t="shared" si="7"/>
        <v>0</v>
      </c>
      <c r="X77" s="9">
        <f t="shared" si="7"/>
        <v>0</v>
      </c>
      <c r="Y77" s="9">
        <f t="shared" si="7"/>
        <v>0</v>
      </c>
      <c r="Z77" s="9">
        <f t="shared" si="7"/>
        <v>0</v>
      </c>
      <c r="AA77" s="9">
        <f t="shared" si="7"/>
        <v>0</v>
      </c>
      <c r="AB77" s="9">
        <f t="shared" si="7"/>
        <v>0</v>
      </c>
      <c r="AC77" s="9">
        <f t="shared" si="7"/>
        <v>0</v>
      </c>
      <c r="AD77" s="9">
        <f t="shared" si="7"/>
        <v>0</v>
      </c>
      <c r="AE77" s="9">
        <f t="shared" si="7"/>
        <v>0</v>
      </c>
      <c r="AF77" s="9">
        <f t="shared" si="7"/>
        <v>0</v>
      </c>
      <c r="AG77" s="9">
        <f t="shared" si="7"/>
        <v>0</v>
      </c>
      <c r="AH77" s="9">
        <f t="shared" si="7"/>
        <v>0</v>
      </c>
      <c r="AI77" s="9">
        <f t="shared" si="7"/>
        <v>0</v>
      </c>
      <c r="AJ77" s="9">
        <f t="shared" si="7"/>
        <v>0</v>
      </c>
      <c r="AK77" s="9">
        <f t="shared" si="7"/>
        <v>0</v>
      </c>
      <c r="AL77" s="9">
        <f t="shared" si="7"/>
        <v>0</v>
      </c>
      <c r="AM77" s="9">
        <f t="shared" si="7"/>
        <v>0</v>
      </c>
      <c r="AN77" s="9">
        <f t="shared" si="7"/>
        <v>0</v>
      </c>
      <c r="AO77" s="9">
        <f t="shared" si="7"/>
        <v>0</v>
      </c>
      <c r="AP77" s="9">
        <f t="shared" si="7"/>
        <v>0</v>
      </c>
      <c r="AQ77" s="9">
        <f t="shared" si="7"/>
        <v>0</v>
      </c>
      <c r="AR77" s="9">
        <f t="shared" si="7"/>
        <v>0</v>
      </c>
      <c r="AS77" s="9">
        <f t="shared" si="7"/>
        <v>0</v>
      </c>
      <c r="AT77" s="9">
        <f t="shared" si="7"/>
        <v>0</v>
      </c>
      <c r="AU77" s="9">
        <f t="shared" si="7"/>
        <v>0</v>
      </c>
      <c r="AV77" s="9">
        <f t="shared" si="7"/>
        <v>0</v>
      </c>
      <c r="AW77" s="9">
        <f t="shared" si="7"/>
        <v>0</v>
      </c>
      <c r="AX77" s="9">
        <f t="shared" si="7"/>
        <v>0</v>
      </c>
      <c r="AY77" s="9">
        <f t="shared" si="7"/>
        <v>0</v>
      </c>
    </row>
    <row r="78" spans="1:51" ht="13" x14ac:dyDescent="0.3">
      <c r="A78" s="12" t="s">
        <v>320</v>
      </c>
      <c r="B78" s="13">
        <f t="shared" si="1"/>
        <v>12435742.463568</v>
      </c>
      <c r="D78" s="13">
        <f t="shared" ref="D78:AY78" si="8">SUM(D71:D77)</f>
        <v>4057374.6962962961</v>
      </c>
      <c r="E78" s="13">
        <f t="shared" si="8"/>
        <v>57374.696296296308</v>
      </c>
      <c r="F78" s="13">
        <f t="shared" si="8"/>
        <v>57374.696296296308</v>
      </c>
      <c r="G78" s="13">
        <f t="shared" si="8"/>
        <v>57374.696296296308</v>
      </c>
      <c r="H78" s="13">
        <f t="shared" si="8"/>
        <v>57374.696296296308</v>
      </c>
      <c r="I78" s="13">
        <f t="shared" si="8"/>
        <v>57374.696296296308</v>
      </c>
      <c r="J78" s="13">
        <f t="shared" si="8"/>
        <v>57374.696296296308</v>
      </c>
      <c r="K78" s="13">
        <f t="shared" si="8"/>
        <v>440596.26895520545</v>
      </c>
      <c r="L78" s="13">
        <f t="shared" si="8"/>
        <v>213447.37512577476</v>
      </c>
      <c r="M78" s="13">
        <f t="shared" si="8"/>
        <v>213447.37512577476</v>
      </c>
      <c r="N78" s="13">
        <f t="shared" si="8"/>
        <v>248626.62597906872</v>
      </c>
      <c r="O78" s="13">
        <f t="shared" si="8"/>
        <v>150840.35108113629</v>
      </c>
      <c r="P78" s="13">
        <f t="shared" si="8"/>
        <v>257487.12676596132</v>
      </c>
      <c r="Q78" s="13">
        <f t="shared" si="8"/>
        <v>227976.14395296789</v>
      </c>
      <c r="R78" s="13">
        <f t="shared" si="8"/>
        <v>305515.14394015638</v>
      </c>
      <c r="S78" s="13">
        <f t="shared" si="8"/>
        <v>377049.51712421328</v>
      </c>
      <c r="T78" s="13">
        <f t="shared" si="8"/>
        <v>433195.82295686076</v>
      </c>
      <c r="U78" s="13">
        <f t="shared" si="8"/>
        <v>499641.90473282372</v>
      </c>
      <c r="V78" s="13">
        <f t="shared" si="8"/>
        <v>506585.33708519518</v>
      </c>
      <c r="W78" s="13">
        <f t="shared" si="8"/>
        <v>531306.14893678075</v>
      </c>
      <c r="X78" s="13">
        <f t="shared" si="8"/>
        <v>421839.36613699817</v>
      </c>
      <c r="Y78" s="13">
        <f t="shared" si="8"/>
        <v>491395.0362285985</v>
      </c>
      <c r="Z78" s="13">
        <f t="shared" si="8"/>
        <v>562369.76310690597</v>
      </c>
      <c r="AA78" s="13">
        <f t="shared" si="8"/>
        <v>714810.21899237169</v>
      </c>
      <c r="AB78" s="13">
        <f t="shared" si="8"/>
        <v>701712.29803233664</v>
      </c>
      <c r="AC78" s="13">
        <f t="shared" si="8"/>
        <v>565181.48804016737</v>
      </c>
      <c r="AD78" s="13">
        <f t="shared" si="8"/>
        <v>171096.27719462797</v>
      </c>
      <c r="AE78" s="13">
        <f t="shared" si="8"/>
        <v>0</v>
      </c>
      <c r="AF78" s="13">
        <f t="shared" si="8"/>
        <v>0</v>
      </c>
      <c r="AG78" s="13">
        <f t="shared" si="8"/>
        <v>0</v>
      </c>
      <c r="AH78" s="13">
        <f t="shared" si="8"/>
        <v>0</v>
      </c>
      <c r="AI78" s="13">
        <f t="shared" si="8"/>
        <v>0</v>
      </c>
      <c r="AJ78" s="13">
        <f t="shared" si="8"/>
        <v>0</v>
      </c>
      <c r="AK78" s="13">
        <f t="shared" si="8"/>
        <v>0</v>
      </c>
      <c r="AL78" s="13">
        <f t="shared" si="8"/>
        <v>0</v>
      </c>
      <c r="AM78" s="13">
        <f t="shared" si="8"/>
        <v>0</v>
      </c>
      <c r="AN78" s="13">
        <f t="shared" si="8"/>
        <v>0</v>
      </c>
      <c r="AO78" s="13">
        <f t="shared" si="8"/>
        <v>0</v>
      </c>
      <c r="AP78" s="13">
        <f t="shared" si="8"/>
        <v>0</v>
      </c>
      <c r="AQ78" s="13">
        <f t="shared" si="8"/>
        <v>0</v>
      </c>
      <c r="AR78" s="13">
        <f t="shared" si="8"/>
        <v>0</v>
      </c>
      <c r="AS78" s="13">
        <f t="shared" si="8"/>
        <v>0</v>
      </c>
      <c r="AT78" s="13">
        <f t="shared" si="8"/>
        <v>0</v>
      </c>
      <c r="AU78" s="13">
        <f t="shared" si="8"/>
        <v>0</v>
      </c>
      <c r="AV78" s="13">
        <f t="shared" si="8"/>
        <v>0</v>
      </c>
      <c r="AW78" s="13">
        <f t="shared" si="8"/>
        <v>0</v>
      </c>
      <c r="AX78" s="13">
        <f t="shared" si="8"/>
        <v>0</v>
      </c>
      <c r="AY78" s="13">
        <f t="shared" si="8"/>
        <v>0</v>
      </c>
    </row>
    <row r="80" spans="1:51" ht="13" x14ac:dyDescent="0.3">
      <c r="A80" s="18" t="s">
        <v>321</v>
      </c>
    </row>
    <row r="81" spans="1:51" x14ac:dyDescent="0.25">
      <c r="A81" s="4" t="s">
        <v>322</v>
      </c>
      <c r="B81" s="9">
        <f>SUM(D81:AY81)</f>
        <v>4401622.8740740744</v>
      </c>
      <c r="D81" s="9">
        <f>MIN(D78,$B$43-SUM($C81:C81))</f>
        <v>4057374.6962962961</v>
      </c>
      <c r="E81" s="9">
        <f>MIN(E78,$B$43-SUM($C81:D81))</f>
        <v>57374.696296296308</v>
      </c>
      <c r="F81" s="9">
        <f>MIN(F78,$B$43-SUM($C81:E81))</f>
        <v>57374.696296296308</v>
      </c>
      <c r="G81" s="9">
        <f>MIN(G78,$B$43-SUM($C81:F81))</f>
        <v>57374.696296296308</v>
      </c>
      <c r="H81" s="9">
        <f>MIN(H78,$B$43-SUM($C81:G81))</f>
        <v>57374.696296296308</v>
      </c>
      <c r="I81" s="9">
        <f>MIN(I78,$B$43-SUM($C81:H81))</f>
        <v>57374.696296296308</v>
      </c>
      <c r="J81" s="9">
        <f>MIN(J78,$B$43-SUM($C81:I81))</f>
        <v>57374.696296296308</v>
      </c>
      <c r="K81" s="9">
        <f>MIN(K78,$B$43-SUM($C81:J81))</f>
        <v>1.862645149230957E-9</v>
      </c>
      <c r="L81" s="9">
        <f>MIN(L78,$B$43-SUM($C81:K81))</f>
        <v>0</v>
      </c>
      <c r="M81" s="9">
        <f>MIN(M78,$B$43-SUM($C81:L81))</f>
        <v>0</v>
      </c>
      <c r="N81" s="9">
        <f>MIN(N78,$B$43-SUM($C81:M81))</f>
        <v>0</v>
      </c>
      <c r="O81" s="9">
        <f>MIN(O78,$B$43-SUM($C81:N81))</f>
        <v>0</v>
      </c>
      <c r="P81" s="9">
        <f>MIN(P78,$B$43-SUM($C81:O81))</f>
        <v>0</v>
      </c>
      <c r="Q81" s="9">
        <f>MIN(Q78,$B$43-SUM($C81:P81))</f>
        <v>0</v>
      </c>
      <c r="R81" s="9">
        <f>MIN(R78,$B$43-SUM($C81:Q81))</f>
        <v>0</v>
      </c>
      <c r="S81" s="9">
        <f>MIN(S78,$B$43-SUM($C81:R81))</f>
        <v>0</v>
      </c>
      <c r="T81" s="9">
        <f>MIN(T78,$B$43-SUM($C81:S81))</f>
        <v>0</v>
      </c>
      <c r="U81" s="9">
        <f>MIN(U78,$B$43-SUM($C81:T81))</f>
        <v>0</v>
      </c>
      <c r="V81" s="9">
        <f>MIN(V78,$B$43-SUM($C81:U81))</f>
        <v>0</v>
      </c>
      <c r="W81" s="9">
        <f>MIN(W78,$B$43-SUM($C81:V81))</f>
        <v>0</v>
      </c>
      <c r="X81" s="9">
        <f>MIN(X78,$B$43-SUM($C81:W81))</f>
        <v>0</v>
      </c>
      <c r="Y81" s="9">
        <f>MIN(Y78,$B$43-SUM($C81:X81))</f>
        <v>0</v>
      </c>
      <c r="Z81" s="9">
        <f>MIN(Z78,$B$43-SUM($C81:Y81))</f>
        <v>0</v>
      </c>
      <c r="AA81" s="9">
        <f>MIN(AA78,$B$43-SUM($C81:Z81))</f>
        <v>0</v>
      </c>
      <c r="AB81" s="9">
        <f>MIN(AB78,$B$43-SUM($C81:AA81))</f>
        <v>0</v>
      </c>
      <c r="AC81" s="9">
        <f>MIN(AC78,$B$43-SUM($C81:AB81))</f>
        <v>0</v>
      </c>
      <c r="AD81" s="9">
        <f>MIN(AD78,$B$43-SUM($C81:AC81))</f>
        <v>0</v>
      </c>
      <c r="AE81" s="9">
        <f>MIN(AE78,$B$43-SUM($C81:AD81))</f>
        <v>0</v>
      </c>
      <c r="AF81" s="9">
        <f>MIN(AF78,$B$43-SUM($C81:AE81))</f>
        <v>0</v>
      </c>
      <c r="AG81" s="9">
        <f>MIN(AG78,$B$43-SUM($C81:AF81))</f>
        <v>0</v>
      </c>
      <c r="AH81" s="9">
        <f>MIN(AH78,$B$43-SUM($C81:AG81))</f>
        <v>0</v>
      </c>
      <c r="AI81" s="9">
        <f>MIN(AI78,$B$43-SUM($C81:AH81))</f>
        <v>0</v>
      </c>
      <c r="AJ81" s="9">
        <f>MIN(AJ78,$B$43-SUM($C81:AI81))</f>
        <v>0</v>
      </c>
      <c r="AK81" s="9">
        <f>MIN(AK78,$B$43-SUM($C81:AJ81))</f>
        <v>0</v>
      </c>
      <c r="AL81" s="9">
        <f>MIN(AL78,$B$43-SUM($C81:AK81))</f>
        <v>0</v>
      </c>
      <c r="AM81" s="9">
        <f>MIN(AM78,$B$43-SUM($C81:AL81))</f>
        <v>0</v>
      </c>
      <c r="AN81" s="9">
        <f>MIN(AN78,$B$43-SUM($C81:AM81))</f>
        <v>0</v>
      </c>
      <c r="AO81" s="9">
        <f>MIN(AO78,$B$43-SUM($C81:AN81))</f>
        <v>0</v>
      </c>
      <c r="AP81" s="9">
        <f>MIN(AP78,$B$43-SUM($C81:AO81))</f>
        <v>0</v>
      </c>
      <c r="AQ81" s="9">
        <f>MIN(AQ78,$B$43-SUM($C81:AP81))</f>
        <v>0</v>
      </c>
      <c r="AR81" s="9">
        <f>MIN(AR78,$B$43-SUM($C81:AQ81))</f>
        <v>0</v>
      </c>
      <c r="AS81" s="9">
        <f>MIN(AS78,$B$43-SUM($C81:AR81))</f>
        <v>0</v>
      </c>
      <c r="AT81" s="9">
        <f>MIN(AT78,$B$43-SUM($C81:AS81))</f>
        <v>0</v>
      </c>
      <c r="AU81" s="9">
        <f>MIN(AU78,$B$43-SUM($C81:AT81))</f>
        <v>0</v>
      </c>
      <c r="AV81" s="9">
        <f>MIN(AV78,$B$43-SUM($C81:AU81))</f>
        <v>0</v>
      </c>
      <c r="AW81" s="9">
        <f>MIN(AW78,$B$43-SUM($C81:AV81))</f>
        <v>0</v>
      </c>
      <c r="AX81" s="9">
        <f>MIN(AX78,$B$43-SUM($C81:AW81))</f>
        <v>0</v>
      </c>
      <c r="AY81" s="9">
        <f>MIN(AY78,$B$43-SUM($C81:AX81))</f>
        <v>0</v>
      </c>
    </row>
    <row r="82" spans="1:51" x14ac:dyDescent="0.25">
      <c r="A82" s="4" t="s">
        <v>323</v>
      </c>
      <c r="B82" s="9">
        <f>SUM(D82:AY82)</f>
        <v>600118.08483901853</v>
      </c>
      <c r="D82" s="9">
        <f t="shared" ref="D82:AY82" si="9">N(C95)*$B$14/12</f>
        <v>0</v>
      </c>
      <c r="E82" s="9">
        <f t="shared" si="9"/>
        <v>0</v>
      </c>
      <c r="F82" s="9">
        <f t="shared" si="9"/>
        <v>0</v>
      </c>
      <c r="G82" s="9">
        <f t="shared" si="9"/>
        <v>0</v>
      </c>
      <c r="H82" s="9">
        <f t="shared" si="9"/>
        <v>0</v>
      </c>
      <c r="I82" s="9">
        <f t="shared" si="9"/>
        <v>0</v>
      </c>
      <c r="J82" s="9">
        <f t="shared" si="9"/>
        <v>0</v>
      </c>
      <c r="K82" s="9">
        <f t="shared" si="9"/>
        <v>0</v>
      </c>
      <c r="L82" s="9">
        <f t="shared" si="9"/>
        <v>3488.0537958953614</v>
      </c>
      <c r="M82" s="9">
        <f t="shared" si="9"/>
        <v>5205.4592748585828</v>
      </c>
      <c r="N82" s="9">
        <f t="shared" si="9"/>
        <v>6936.4608805302641</v>
      </c>
      <c r="O82" s="9">
        <f t="shared" si="9"/>
        <v>8959.6686515020901</v>
      </c>
      <c r="P82" s="9">
        <f t="shared" si="9"/>
        <v>10224.752141052142</v>
      </c>
      <c r="Q82" s="9">
        <f t="shared" si="9"/>
        <v>12344.137849065999</v>
      </c>
      <c r="R82" s="9">
        <f t="shared" si="9"/>
        <v>14246.673413332101</v>
      </c>
      <c r="S82" s="9">
        <f t="shared" si="9"/>
        <v>16778.121134047218</v>
      </c>
      <c r="T82" s="9">
        <f t="shared" si="9"/>
        <v>19895.923270258445</v>
      </c>
      <c r="U82" s="9">
        <f t="shared" si="9"/>
        <v>23482.899594556471</v>
      </c>
      <c r="V82" s="9">
        <f t="shared" si="9"/>
        <v>27624.304295481565</v>
      </c>
      <c r="W82" s="9">
        <f t="shared" si="9"/>
        <v>31853.463956411928</v>
      </c>
      <c r="X82" s="9">
        <f t="shared" si="9"/>
        <v>36311.810891816371</v>
      </c>
      <c r="Y82" s="9">
        <f t="shared" si="9"/>
        <v>39938.841043294487</v>
      </c>
      <c r="Z82" s="9">
        <f t="shared" si="9"/>
        <v>44145.234238363635</v>
      </c>
      <c r="AA82" s="9">
        <f t="shared" si="9"/>
        <v>48946.811300680354</v>
      </c>
      <c r="AB82" s="9">
        <f t="shared" si="9"/>
        <v>54993.221123833682</v>
      </c>
      <c r="AC82" s="9">
        <f t="shared" si="9"/>
        <v>60983.80648382003</v>
      </c>
      <c r="AD82" s="9">
        <f t="shared" si="9"/>
        <v>65940.9483988016</v>
      </c>
      <c r="AE82" s="9">
        <f t="shared" si="9"/>
        <v>67817.493101416243</v>
      </c>
      <c r="AF82" s="9">
        <f t="shared" si="9"/>
        <v>0</v>
      </c>
      <c r="AG82" s="9">
        <f t="shared" si="9"/>
        <v>0</v>
      </c>
      <c r="AH82" s="9">
        <f t="shared" si="9"/>
        <v>0</v>
      </c>
      <c r="AI82" s="9">
        <f t="shared" si="9"/>
        <v>0</v>
      </c>
      <c r="AJ82" s="9">
        <f t="shared" si="9"/>
        <v>0</v>
      </c>
      <c r="AK82" s="9">
        <f t="shared" si="9"/>
        <v>0</v>
      </c>
      <c r="AL82" s="9">
        <f t="shared" si="9"/>
        <v>0</v>
      </c>
      <c r="AM82" s="9">
        <f t="shared" si="9"/>
        <v>0</v>
      </c>
      <c r="AN82" s="9">
        <f t="shared" si="9"/>
        <v>0</v>
      </c>
      <c r="AO82" s="9">
        <f t="shared" si="9"/>
        <v>0</v>
      </c>
      <c r="AP82" s="9">
        <f t="shared" si="9"/>
        <v>0</v>
      </c>
      <c r="AQ82" s="9">
        <f t="shared" si="9"/>
        <v>0</v>
      </c>
      <c r="AR82" s="9">
        <f t="shared" si="9"/>
        <v>0</v>
      </c>
      <c r="AS82" s="9">
        <f t="shared" si="9"/>
        <v>0</v>
      </c>
      <c r="AT82" s="9">
        <f t="shared" si="9"/>
        <v>0</v>
      </c>
      <c r="AU82" s="9">
        <f t="shared" si="9"/>
        <v>0</v>
      </c>
      <c r="AV82" s="9">
        <f t="shared" si="9"/>
        <v>0</v>
      </c>
      <c r="AW82" s="9">
        <f t="shared" si="9"/>
        <v>0</v>
      </c>
      <c r="AX82" s="9">
        <f t="shared" si="9"/>
        <v>0</v>
      </c>
      <c r="AY82" s="9">
        <f t="shared" si="9"/>
        <v>0</v>
      </c>
    </row>
    <row r="83" spans="1:51" x14ac:dyDescent="0.25">
      <c r="A83" s="4" t="s">
        <v>324</v>
      </c>
      <c r="B83" s="9">
        <f>SUM(D83:AY83)</f>
        <v>8634237.674332941</v>
      </c>
      <c r="D83" s="9">
        <f t="shared" ref="D83:AY83" si="10">D78-D81+D82</f>
        <v>0</v>
      </c>
      <c r="E83" s="9">
        <f t="shared" si="10"/>
        <v>0</v>
      </c>
      <c r="F83" s="9">
        <f t="shared" si="10"/>
        <v>0</v>
      </c>
      <c r="G83" s="9">
        <f t="shared" si="10"/>
        <v>0</v>
      </c>
      <c r="H83" s="9">
        <f t="shared" si="10"/>
        <v>0</v>
      </c>
      <c r="I83" s="9">
        <f t="shared" si="10"/>
        <v>0</v>
      </c>
      <c r="J83" s="9">
        <f t="shared" si="10"/>
        <v>0</v>
      </c>
      <c r="K83" s="9">
        <f t="shared" si="10"/>
        <v>440596.26895520359</v>
      </c>
      <c r="L83" s="9">
        <f t="shared" si="10"/>
        <v>216935.42892167013</v>
      </c>
      <c r="M83" s="9">
        <f t="shared" si="10"/>
        <v>218652.83440063335</v>
      </c>
      <c r="N83" s="9">
        <f t="shared" si="10"/>
        <v>255563.08685959899</v>
      </c>
      <c r="O83" s="9">
        <f t="shared" si="10"/>
        <v>159800.01973263838</v>
      </c>
      <c r="P83" s="9">
        <f t="shared" si="10"/>
        <v>267711.87890701345</v>
      </c>
      <c r="Q83" s="9">
        <f t="shared" si="10"/>
        <v>240320.28180203389</v>
      </c>
      <c r="R83" s="9">
        <f t="shared" si="10"/>
        <v>319761.81735348847</v>
      </c>
      <c r="S83" s="9">
        <f t="shared" si="10"/>
        <v>393827.6382582605</v>
      </c>
      <c r="T83" s="9">
        <f t="shared" si="10"/>
        <v>453091.74622711923</v>
      </c>
      <c r="U83" s="9">
        <f t="shared" si="10"/>
        <v>523124.8043273802</v>
      </c>
      <c r="V83" s="9">
        <f t="shared" si="10"/>
        <v>534209.64138067677</v>
      </c>
      <c r="W83" s="9">
        <f t="shared" si="10"/>
        <v>563159.61289319268</v>
      </c>
      <c r="X83" s="9">
        <f t="shared" si="10"/>
        <v>458151.17702881456</v>
      </c>
      <c r="Y83" s="9">
        <f t="shared" si="10"/>
        <v>531333.87727189297</v>
      </c>
      <c r="Z83" s="9">
        <f t="shared" si="10"/>
        <v>606514.99734526966</v>
      </c>
      <c r="AA83" s="9">
        <f t="shared" si="10"/>
        <v>763757.03029305208</v>
      </c>
      <c r="AB83" s="9">
        <f t="shared" si="10"/>
        <v>756705.51915617031</v>
      </c>
      <c r="AC83" s="9">
        <f t="shared" si="10"/>
        <v>626165.29452398745</v>
      </c>
      <c r="AD83" s="9">
        <f t="shared" si="10"/>
        <v>237037.22559342958</v>
      </c>
      <c r="AE83" s="9">
        <f t="shared" si="10"/>
        <v>67817.493101416243</v>
      </c>
      <c r="AF83" s="9">
        <f t="shared" si="10"/>
        <v>0</v>
      </c>
      <c r="AG83" s="9">
        <f t="shared" si="10"/>
        <v>0</v>
      </c>
      <c r="AH83" s="9">
        <f t="shared" si="10"/>
        <v>0</v>
      </c>
      <c r="AI83" s="9">
        <f t="shared" si="10"/>
        <v>0</v>
      </c>
      <c r="AJ83" s="9">
        <f t="shared" si="10"/>
        <v>0</v>
      </c>
      <c r="AK83" s="9">
        <f t="shared" si="10"/>
        <v>0</v>
      </c>
      <c r="AL83" s="9">
        <f t="shared" si="10"/>
        <v>0</v>
      </c>
      <c r="AM83" s="9">
        <f t="shared" si="10"/>
        <v>0</v>
      </c>
      <c r="AN83" s="9">
        <f t="shared" si="10"/>
        <v>0</v>
      </c>
      <c r="AO83" s="9">
        <f t="shared" si="10"/>
        <v>0</v>
      </c>
      <c r="AP83" s="9">
        <f t="shared" si="10"/>
        <v>0</v>
      </c>
      <c r="AQ83" s="9">
        <f t="shared" si="10"/>
        <v>0</v>
      </c>
      <c r="AR83" s="9">
        <f t="shared" si="10"/>
        <v>0</v>
      </c>
      <c r="AS83" s="9">
        <f t="shared" si="10"/>
        <v>0</v>
      </c>
      <c r="AT83" s="9">
        <f t="shared" si="10"/>
        <v>0</v>
      </c>
      <c r="AU83" s="9">
        <f t="shared" si="10"/>
        <v>0</v>
      </c>
      <c r="AV83" s="9">
        <f t="shared" si="10"/>
        <v>0</v>
      </c>
      <c r="AW83" s="9">
        <f t="shared" si="10"/>
        <v>0</v>
      </c>
      <c r="AX83" s="9">
        <f t="shared" si="10"/>
        <v>0</v>
      </c>
      <c r="AY83" s="9">
        <f t="shared" si="10"/>
        <v>0</v>
      </c>
    </row>
    <row r="85" spans="1:51" ht="13" x14ac:dyDescent="0.3">
      <c r="A85" s="18" t="s">
        <v>325</v>
      </c>
    </row>
    <row r="86" spans="1:51" x14ac:dyDescent="0.25">
      <c r="A86" s="4" t="s">
        <v>326</v>
      </c>
      <c r="B86" s="9">
        <f>SUM(D86:AY86)</f>
        <v>9030450</v>
      </c>
      <c r="D86" s="9">
        <f>SUMPRODUCT(--('Rev &amp; Unit-by-Unit'!$O$18:$O$26+$B$6+$B$7=D$67),'Rev &amp; Unit-by-Unit'!$M$18:$M$26)</f>
        <v>0</v>
      </c>
      <c r="E86" s="9">
        <f>SUMPRODUCT(--('Rev &amp; Unit-by-Unit'!$O$18:$O$26+$B$6+$B$7=E$67),'Rev &amp; Unit-by-Unit'!$M$18:$M$26)</f>
        <v>0</v>
      </c>
      <c r="F86" s="9">
        <f>SUMPRODUCT(--('Rev &amp; Unit-by-Unit'!$O$18:$O$26+$B$6+$B$7=F$67),'Rev &amp; Unit-by-Unit'!$M$18:$M$26)</f>
        <v>0</v>
      </c>
      <c r="G86" s="9">
        <f>SUMPRODUCT(--('Rev &amp; Unit-by-Unit'!$O$18:$O$26+$B$6+$B$7=G$67),'Rev &amp; Unit-by-Unit'!$M$18:$M$26)</f>
        <v>0</v>
      </c>
      <c r="H86" s="9">
        <f>SUMPRODUCT(--('Rev &amp; Unit-by-Unit'!$O$18:$O$26+$B$6+$B$7=H$67),'Rev &amp; Unit-by-Unit'!$M$18:$M$26)</f>
        <v>0</v>
      </c>
      <c r="I86" s="9">
        <f>SUMPRODUCT(--('Rev &amp; Unit-by-Unit'!$O$18:$O$26+$B$6+$B$7=I$67),'Rev &amp; Unit-by-Unit'!$M$18:$M$26)</f>
        <v>0</v>
      </c>
      <c r="J86" s="9">
        <f>SUMPRODUCT(--('Rev &amp; Unit-by-Unit'!$O$18:$O$26+$B$6+$B$7=J$67),'Rev &amp; Unit-by-Unit'!$M$18:$M$26)</f>
        <v>0</v>
      </c>
      <c r="K86" s="9">
        <f>SUMPRODUCT(--('Rev &amp; Unit-by-Unit'!$O$18:$O$26+$B$6+$B$7=K$67),'Rev &amp; Unit-by-Unit'!$M$18:$M$26)</f>
        <v>0</v>
      </c>
      <c r="L86" s="9">
        <f>SUMPRODUCT(--('Rev &amp; Unit-by-Unit'!$O$18:$O$26+$B$6+$B$7=L$67),'Rev &amp; Unit-by-Unit'!$M$18:$M$26)</f>
        <v>0</v>
      </c>
      <c r="M86" s="9">
        <f>SUMPRODUCT(--('Rev &amp; Unit-by-Unit'!$O$18:$O$26+$B$6+$B$7=M$67),'Rev &amp; Unit-by-Unit'!$M$18:$M$26)</f>
        <v>0</v>
      </c>
      <c r="N86" s="9">
        <f>SUMPRODUCT(--('Rev &amp; Unit-by-Unit'!$O$18:$O$26+$B$6+$B$7=N$67),'Rev &amp; Unit-by-Unit'!$M$18:$M$26)</f>
        <v>0</v>
      </c>
      <c r="O86" s="9">
        <f>SUMPRODUCT(--('Rev &amp; Unit-by-Unit'!$O$18:$O$26+$B$6+$B$7=O$67),'Rev &amp; Unit-by-Unit'!$M$18:$M$26)</f>
        <v>0</v>
      </c>
      <c r="P86" s="9">
        <f>SUMPRODUCT(--('Rev &amp; Unit-by-Unit'!$O$18:$O$26+$B$6+$B$7=P$67),'Rev &amp; Unit-by-Unit'!$M$18:$M$26)</f>
        <v>0</v>
      </c>
      <c r="Q86" s="9">
        <f>SUMPRODUCT(--('Rev &amp; Unit-by-Unit'!$O$18:$O$26+$B$6+$B$7=Q$67),'Rev &amp; Unit-by-Unit'!$M$18:$M$26)</f>
        <v>0</v>
      </c>
      <c r="R86" s="9">
        <f>SUMPRODUCT(--('Rev &amp; Unit-by-Unit'!$O$18:$O$26+$B$6+$B$7=R$67),'Rev &amp; Unit-by-Unit'!$M$18:$M$26)</f>
        <v>0</v>
      </c>
      <c r="S86" s="9">
        <f>SUMPRODUCT(--('Rev &amp; Unit-by-Unit'!$O$18:$O$26+$B$6+$B$7=S$67),'Rev &amp; Unit-by-Unit'!$M$18:$M$26)</f>
        <v>0</v>
      </c>
      <c r="T86" s="9">
        <f>SUMPRODUCT(--('Rev &amp; Unit-by-Unit'!$O$18:$O$26+$B$6+$B$7=T$67),'Rev &amp; Unit-by-Unit'!$M$18:$M$26)</f>
        <v>0</v>
      </c>
      <c r="U86" s="9">
        <f>SUMPRODUCT(--('Rev &amp; Unit-by-Unit'!$O$18:$O$26+$B$6+$B$7=U$67),'Rev &amp; Unit-by-Unit'!$M$18:$M$26)</f>
        <v>0</v>
      </c>
      <c r="V86" s="9">
        <f>SUMPRODUCT(--('Rev &amp; Unit-by-Unit'!$O$18:$O$26+$B$6+$B$7=V$67),'Rev &amp; Unit-by-Unit'!$M$18:$M$26)</f>
        <v>0</v>
      </c>
      <c r="W86" s="9">
        <f>SUMPRODUCT(--('Rev &amp; Unit-by-Unit'!$O$18:$O$26+$B$6+$B$7=W$67),'Rev &amp; Unit-by-Unit'!$M$18:$M$26)</f>
        <v>0</v>
      </c>
      <c r="X86" s="9">
        <f>SUMPRODUCT(--('Rev &amp; Unit-by-Unit'!$O$18:$O$26+$B$6+$B$7=X$67),'Rev &amp; Unit-by-Unit'!$M$18:$M$26)</f>
        <v>0</v>
      </c>
      <c r="Y86" s="9">
        <f>SUMPRODUCT(--('Rev &amp; Unit-by-Unit'!$O$18:$O$26+$B$6+$B$7=Y$67),'Rev &amp; Unit-by-Unit'!$M$18:$M$26)</f>
        <v>0</v>
      </c>
      <c r="Z86" s="9">
        <f>SUMPRODUCT(--('Rev &amp; Unit-by-Unit'!$O$18:$O$26+$B$6+$B$7=Z$67),'Rev &amp; Unit-by-Unit'!$M$18:$M$26)</f>
        <v>0</v>
      </c>
      <c r="AA86" s="9">
        <f>SUMPRODUCT(--('Rev &amp; Unit-by-Unit'!$O$18:$O$26+$B$6+$B$7=AA$67),'Rev &amp; Unit-by-Unit'!$M$18:$M$26)</f>
        <v>0</v>
      </c>
      <c r="AB86" s="9">
        <f>SUMPRODUCT(--('Rev &amp; Unit-by-Unit'!$O$18:$O$26+$B$6+$B$7=AB$67),'Rev &amp; Unit-by-Unit'!$M$18:$M$26)</f>
        <v>0</v>
      </c>
      <c r="AC86" s="9">
        <f>SUMPRODUCT(--('Rev &amp; Unit-by-Unit'!$O$18:$O$26+$B$6+$B$7=AC$67),'Rev &amp; Unit-by-Unit'!$M$18:$M$26)</f>
        <v>0</v>
      </c>
      <c r="AD86" s="9">
        <f>SUMPRODUCT(--('Rev &amp; Unit-by-Unit'!$O$18:$O$26+$B$6+$B$7=AD$67),'Rev &amp; Unit-by-Unit'!$M$18:$M$26)</f>
        <v>0</v>
      </c>
      <c r="AE86" s="9">
        <f>SUMPRODUCT(--('Rev &amp; Unit-by-Unit'!$O$18:$O$26+$B$6+$B$7=AE$67),'Rev &amp; Unit-by-Unit'!$M$18:$M$26)</f>
        <v>9030450</v>
      </c>
      <c r="AF86" s="9">
        <f>SUMPRODUCT(--('Rev &amp; Unit-by-Unit'!$O$18:$O$26+$B$6+$B$7=AF$67),'Rev &amp; Unit-by-Unit'!$M$18:$M$26)</f>
        <v>0</v>
      </c>
      <c r="AG86" s="9">
        <f>SUMPRODUCT(--('Rev &amp; Unit-by-Unit'!$O$18:$O$26+$B$6+$B$7=AG$67),'Rev &amp; Unit-by-Unit'!$M$18:$M$26)</f>
        <v>0</v>
      </c>
      <c r="AH86" s="9">
        <f>SUMPRODUCT(--('Rev &amp; Unit-by-Unit'!$O$18:$O$26+$B$6+$B$7=AH$67),'Rev &amp; Unit-by-Unit'!$M$18:$M$26)</f>
        <v>0</v>
      </c>
      <c r="AI86" s="9">
        <f>SUMPRODUCT(--('Rev &amp; Unit-by-Unit'!$O$18:$O$26+$B$6+$B$7=AI$67),'Rev &amp; Unit-by-Unit'!$M$18:$M$26)</f>
        <v>0</v>
      </c>
      <c r="AJ86" s="9">
        <f>SUMPRODUCT(--('Rev &amp; Unit-by-Unit'!$O$18:$O$26+$B$6+$B$7=AJ$67),'Rev &amp; Unit-by-Unit'!$M$18:$M$26)</f>
        <v>0</v>
      </c>
      <c r="AK86" s="9">
        <f>SUMPRODUCT(--('Rev &amp; Unit-by-Unit'!$O$18:$O$26+$B$6+$B$7=AK$67),'Rev &amp; Unit-by-Unit'!$M$18:$M$26)</f>
        <v>0</v>
      </c>
      <c r="AL86" s="9">
        <f>SUMPRODUCT(--('Rev &amp; Unit-by-Unit'!$O$18:$O$26+$B$6+$B$7=AL$67),'Rev &amp; Unit-by-Unit'!$M$18:$M$26)</f>
        <v>0</v>
      </c>
      <c r="AM86" s="9">
        <f>SUMPRODUCT(--('Rev &amp; Unit-by-Unit'!$O$18:$O$26+$B$6+$B$7=AM$67),'Rev &amp; Unit-by-Unit'!$M$18:$M$26)</f>
        <v>0</v>
      </c>
      <c r="AN86" s="9">
        <f>SUMPRODUCT(--('Rev &amp; Unit-by-Unit'!$O$18:$O$26+$B$6+$B$7=AN$67),'Rev &amp; Unit-by-Unit'!$M$18:$M$26)</f>
        <v>0</v>
      </c>
      <c r="AO86" s="9">
        <f>SUMPRODUCT(--('Rev &amp; Unit-by-Unit'!$O$18:$O$26+$B$6+$B$7=AO$67),'Rev &amp; Unit-by-Unit'!$M$18:$M$26)</f>
        <v>0</v>
      </c>
      <c r="AP86" s="9">
        <f>SUMPRODUCT(--('Rev &amp; Unit-by-Unit'!$O$18:$O$26+$B$6+$B$7=AP$67),'Rev &amp; Unit-by-Unit'!$M$18:$M$26)</f>
        <v>0</v>
      </c>
      <c r="AQ86" s="9">
        <f>SUMPRODUCT(--('Rev &amp; Unit-by-Unit'!$O$18:$O$26+$B$6+$B$7=AQ$67),'Rev &amp; Unit-by-Unit'!$M$18:$M$26)</f>
        <v>0</v>
      </c>
      <c r="AR86" s="9">
        <f>SUMPRODUCT(--('Rev &amp; Unit-by-Unit'!$O$18:$O$26+$B$6+$B$7=AR$67),'Rev &amp; Unit-by-Unit'!$M$18:$M$26)</f>
        <v>0</v>
      </c>
      <c r="AS86" s="9">
        <f>SUMPRODUCT(--('Rev &amp; Unit-by-Unit'!$O$18:$O$26+$B$6+$B$7=AS$67),'Rev &amp; Unit-by-Unit'!$M$18:$M$26)</f>
        <v>0</v>
      </c>
      <c r="AT86" s="9">
        <f>SUMPRODUCT(--('Rev &amp; Unit-by-Unit'!$O$18:$O$26+$B$6+$B$7=AT$67),'Rev &amp; Unit-by-Unit'!$M$18:$M$26)</f>
        <v>0</v>
      </c>
      <c r="AU86" s="9">
        <f>SUMPRODUCT(--('Rev &amp; Unit-by-Unit'!$O$18:$O$26+$B$6+$B$7=AU$67),'Rev &amp; Unit-by-Unit'!$M$18:$M$26)</f>
        <v>0</v>
      </c>
      <c r="AV86" s="9">
        <f>SUMPRODUCT(--('Rev &amp; Unit-by-Unit'!$O$18:$O$26+$B$6+$B$7=AV$67),'Rev &amp; Unit-by-Unit'!$M$18:$M$26)</f>
        <v>0</v>
      </c>
      <c r="AW86" s="9">
        <f>SUMPRODUCT(--('Rev &amp; Unit-by-Unit'!$O$18:$O$26+$B$6+$B$7=AW$67),'Rev &amp; Unit-by-Unit'!$M$18:$M$26)</f>
        <v>0</v>
      </c>
      <c r="AX86" s="9">
        <f>SUMPRODUCT(--('Rev &amp; Unit-by-Unit'!$O$18:$O$26+$B$6+$B$7=AX$67),'Rev &amp; Unit-by-Unit'!$M$18:$M$26)</f>
        <v>0</v>
      </c>
      <c r="AY86" s="9">
        <f>SUMPRODUCT(--('Rev &amp; Unit-by-Unit'!$O$18:$O$26+$B$6+$B$7=AY$67),'Rev &amp; Unit-by-Unit'!$M$18:$M$26)</f>
        <v>0</v>
      </c>
    </row>
    <row r="87" spans="1:51" x14ac:dyDescent="0.25">
      <c r="A87" s="4" t="s">
        <v>327</v>
      </c>
      <c r="B87" s="9">
        <f>SUM(D87:AY87)</f>
        <v>-518219.21250000002</v>
      </c>
      <c r="D87" s="9">
        <f t="shared" ref="D87:AY87" si="11">-$B$31*D86/$B$30</f>
        <v>0</v>
      </c>
      <c r="E87" s="9">
        <f t="shared" si="11"/>
        <v>0</v>
      </c>
      <c r="F87" s="9">
        <f t="shared" si="11"/>
        <v>0</v>
      </c>
      <c r="G87" s="9">
        <f t="shared" si="11"/>
        <v>0</v>
      </c>
      <c r="H87" s="9">
        <f t="shared" si="11"/>
        <v>0</v>
      </c>
      <c r="I87" s="9">
        <f t="shared" si="11"/>
        <v>0</v>
      </c>
      <c r="J87" s="9">
        <f t="shared" si="11"/>
        <v>0</v>
      </c>
      <c r="K87" s="9">
        <f t="shared" si="11"/>
        <v>0</v>
      </c>
      <c r="L87" s="9">
        <f t="shared" si="11"/>
        <v>0</v>
      </c>
      <c r="M87" s="9">
        <f t="shared" si="11"/>
        <v>0</v>
      </c>
      <c r="N87" s="9">
        <f t="shared" si="11"/>
        <v>0</v>
      </c>
      <c r="O87" s="9">
        <f t="shared" si="11"/>
        <v>0</v>
      </c>
      <c r="P87" s="9">
        <f t="shared" si="11"/>
        <v>0</v>
      </c>
      <c r="Q87" s="9">
        <f t="shared" si="11"/>
        <v>0</v>
      </c>
      <c r="R87" s="9">
        <f t="shared" si="11"/>
        <v>0</v>
      </c>
      <c r="S87" s="9">
        <f t="shared" si="11"/>
        <v>0</v>
      </c>
      <c r="T87" s="9">
        <f t="shared" si="11"/>
        <v>0</v>
      </c>
      <c r="U87" s="9">
        <f t="shared" si="11"/>
        <v>0</v>
      </c>
      <c r="V87" s="9">
        <f t="shared" si="11"/>
        <v>0</v>
      </c>
      <c r="W87" s="9">
        <f t="shared" si="11"/>
        <v>0</v>
      </c>
      <c r="X87" s="9">
        <f t="shared" si="11"/>
        <v>0</v>
      </c>
      <c r="Y87" s="9">
        <f t="shared" si="11"/>
        <v>0</v>
      </c>
      <c r="Z87" s="9">
        <f t="shared" si="11"/>
        <v>0</v>
      </c>
      <c r="AA87" s="9">
        <f t="shared" si="11"/>
        <v>0</v>
      </c>
      <c r="AB87" s="9">
        <f t="shared" si="11"/>
        <v>0</v>
      </c>
      <c r="AC87" s="9">
        <f t="shared" si="11"/>
        <v>0</v>
      </c>
      <c r="AD87" s="9">
        <f t="shared" si="11"/>
        <v>0</v>
      </c>
      <c r="AE87" s="9">
        <f t="shared" si="11"/>
        <v>-518219.21250000002</v>
      </c>
      <c r="AF87" s="9">
        <f t="shared" si="11"/>
        <v>0</v>
      </c>
      <c r="AG87" s="9">
        <f t="shared" si="11"/>
        <v>0</v>
      </c>
      <c r="AH87" s="9">
        <f t="shared" si="11"/>
        <v>0</v>
      </c>
      <c r="AI87" s="9">
        <f t="shared" si="11"/>
        <v>0</v>
      </c>
      <c r="AJ87" s="9">
        <f t="shared" si="11"/>
        <v>0</v>
      </c>
      <c r="AK87" s="9">
        <f t="shared" si="11"/>
        <v>0</v>
      </c>
      <c r="AL87" s="9">
        <f t="shared" si="11"/>
        <v>0</v>
      </c>
      <c r="AM87" s="9">
        <f t="shared" si="11"/>
        <v>0</v>
      </c>
      <c r="AN87" s="9">
        <f t="shared" si="11"/>
        <v>0</v>
      </c>
      <c r="AO87" s="9">
        <f t="shared" si="11"/>
        <v>0</v>
      </c>
      <c r="AP87" s="9">
        <f t="shared" si="11"/>
        <v>0</v>
      </c>
      <c r="AQ87" s="9">
        <f t="shared" si="11"/>
        <v>0</v>
      </c>
      <c r="AR87" s="9">
        <f t="shared" si="11"/>
        <v>0</v>
      </c>
      <c r="AS87" s="9">
        <f t="shared" si="11"/>
        <v>0</v>
      </c>
      <c r="AT87" s="9">
        <f t="shared" si="11"/>
        <v>0</v>
      </c>
      <c r="AU87" s="9">
        <f t="shared" si="11"/>
        <v>0</v>
      </c>
      <c r="AV87" s="9">
        <f t="shared" si="11"/>
        <v>0</v>
      </c>
      <c r="AW87" s="9">
        <f t="shared" si="11"/>
        <v>0</v>
      </c>
      <c r="AX87" s="9">
        <f t="shared" si="11"/>
        <v>0</v>
      </c>
      <c r="AY87" s="9">
        <f t="shared" si="11"/>
        <v>0</v>
      </c>
    </row>
    <row r="88" spans="1:51" x14ac:dyDescent="0.25">
      <c r="A88" s="4" t="s">
        <v>328</v>
      </c>
      <c r="B88" s="9">
        <f>SUM(D88:AY88)</f>
        <v>4597683.7455000002</v>
      </c>
      <c r="D88" s="9">
        <f t="shared" ref="D88:AY88" si="12">IF(D$67=$B$6+$B$7+$B$9,$B$32-$B$33,0)</f>
        <v>0</v>
      </c>
      <c r="E88" s="9">
        <f t="shared" si="12"/>
        <v>0</v>
      </c>
      <c r="F88" s="9">
        <f t="shared" si="12"/>
        <v>0</v>
      </c>
      <c r="G88" s="9">
        <f t="shared" si="12"/>
        <v>0</v>
      </c>
      <c r="H88" s="9">
        <f t="shared" si="12"/>
        <v>0</v>
      </c>
      <c r="I88" s="9">
        <f t="shared" si="12"/>
        <v>0</v>
      </c>
      <c r="J88" s="9">
        <f t="shared" si="12"/>
        <v>0</v>
      </c>
      <c r="K88" s="9">
        <f t="shared" si="12"/>
        <v>0</v>
      </c>
      <c r="L88" s="9">
        <f t="shared" si="12"/>
        <v>0</v>
      </c>
      <c r="M88" s="9">
        <f t="shared" si="12"/>
        <v>0</v>
      </c>
      <c r="N88" s="9">
        <f t="shared" si="12"/>
        <v>0</v>
      </c>
      <c r="O88" s="9">
        <f t="shared" si="12"/>
        <v>0</v>
      </c>
      <c r="P88" s="9">
        <f t="shared" si="12"/>
        <v>0</v>
      </c>
      <c r="Q88" s="9">
        <f t="shared" si="12"/>
        <v>0</v>
      </c>
      <c r="R88" s="9">
        <f t="shared" si="12"/>
        <v>0</v>
      </c>
      <c r="S88" s="9">
        <f t="shared" si="12"/>
        <v>0</v>
      </c>
      <c r="T88" s="9">
        <f t="shared" si="12"/>
        <v>0</v>
      </c>
      <c r="U88" s="9">
        <f t="shared" si="12"/>
        <v>0</v>
      </c>
      <c r="V88" s="9">
        <f t="shared" si="12"/>
        <v>0</v>
      </c>
      <c r="W88" s="9">
        <f t="shared" si="12"/>
        <v>0</v>
      </c>
      <c r="X88" s="9">
        <f t="shared" si="12"/>
        <v>0</v>
      </c>
      <c r="Y88" s="9">
        <f t="shared" si="12"/>
        <v>0</v>
      </c>
      <c r="Z88" s="9">
        <f t="shared" si="12"/>
        <v>0</v>
      </c>
      <c r="AA88" s="9">
        <f t="shared" si="12"/>
        <v>0</v>
      </c>
      <c r="AB88" s="9">
        <f t="shared" si="12"/>
        <v>0</v>
      </c>
      <c r="AC88" s="9">
        <f t="shared" si="12"/>
        <v>0</v>
      </c>
      <c r="AD88" s="9">
        <f t="shared" si="12"/>
        <v>0</v>
      </c>
      <c r="AE88" s="9">
        <f t="shared" si="12"/>
        <v>4597683.7455000002</v>
      </c>
      <c r="AF88" s="9">
        <f t="shared" si="12"/>
        <v>0</v>
      </c>
      <c r="AG88" s="9">
        <f t="shared" si="12"/>
        <v>0</v>
      </c>
      <c r="AH88" s="9">
        <f t="shared" si="12"/>
        <v>0</v>
      </c>
      <c r="AI88" s="9">
        <f t="shared" si="12"/>
        <v>0</v>
      </c>
      <c r="AJ88" s="9">
        <f t="shared" si="12"/>
        <v>0</v>
      </c>
      <c r="AK88" s="9">
        <f t="shared" si="12"/>
        <v>0</v>
      </c>
      <c r="AL88" s="9">
        <f t="shared" si="12"/>
        <v>0</v>
      </c>
      <c r="AM88" s="9">
        <f t="shared" si="12"/>
        <v>0</v>
      </c>
      <c r="AN88" s="9">
        <f t="shared" si="12"/>
        <v>0</v>
      </c>
      <c r="AO88" s="9">
        <f t="shared" si="12"/>
        <v>0</v>
      </c>
      <c r="AP88" s="9">
        <f t="shared" si="12"/>
        <v>0</v>
      </c>
      <c r="AQ88" s="9">
        <f t="shared" si="12"/>
        <v>0</v>
      </c>
      <c r="AR88" s="9">
        <f t="shared" si="12"/>
        <v>0</v>
      </c>
      <c r="AS88" s="9">
        <f t="shared" si="12"/>
        <v>0</v>
      </c>
      <c r="AT88" s="9">
        <f t="shared" si="12"/>
        <v>0</v>
      </c>
      <c r="AU88" s="9">
        <f t="shared" si="12"/>
        <v>0</v>
      </c>
      <c r="AV88" s="9">
        <f t="shared" si="12"/>
        <v>0</v>
      </c>
      <c r="AW88" s="9">
        <f t="shared" si="12"/>
        <v>0</v>
      </c>
      <c r="AX88" s="9">
        <f t="shared" si="12"/>
        <v>0</v>
      </c>
      <c r="AY88" s="9">
        <f t="shared" si="12"/>
        <v>0</v>
      </c>
    </row>
    <row r="89" spans="1:51" x14ac:dyDescent="0.25">
      <c r="A89" s="4" t="s">
        <v>329</v>
      </c>
      <c r="B89" s="9">
        <f>SUM(D89:AY89)</f>
        <v>-96665.5</v>
      </c>
      <c r="D89" s="9">
        <f t="shared" ref="D89:AY89" si="13">-IF(D$67=$B$10,$B$34,0)</f>
        <v>0</v>
      </c>
      <c r="E89" s="9">
        <f t="shared" si="13"/>
        <v>0</v>
      </c>
      <c r="F89" s="9">
        <f t="shared" si="13"/>
        <v>0</v>
      </c>
      <c r="G89" s="9">
        <f t="shared" si="13"/>
        <v>0</v>
      </c>
      <c r="H89" s="9">
        <f t="shared" si="13"/>
        <v>0</v>
      </c>
      <c r="I89" s="9">
        <f t="shared" si="13"/>
        <v>0</v>
      </c>
      <c r="J89" s="9">
        <f t="shared" si="13"/>
        <v>0</v>
      </c>
      <c r="K89" s="9">
        <f t="shared" si="13"/>
        <v>0</v>
      </c>
      <c r="L89" s="9">
        <f t="shared" si="13"/>
        <v>0</v>
      </c>
      <c r="M89" s="9">
        <f t="shared" si="13"/>
        <v>0</v>
      </c>
      <c r="N89" s="9">
        <f t="shared" si="13"/>
        <v>0</v>
      </c>
      <c r="O89" s="9">
        <f t="shared" si="13"/>
        <v>0</v>
      </c>
      <c r="P89" s="9">
        <f t="shared" si="13"/>
        <v>0</v>
      </c>
      <c r="Q89" s="9">
        <f t="shared" si="13"/>
        <v>0</v>
      </c>
      <c r="R89" s="9">
        <f t="shared" si="13"/>
        <v>0</v>
      </c>
      <c r="S89" s="9">
        <f t="shared" si="13"/>
        <v>0</v>
      </c>
      <c r="T89" s="9">
        <f t="shared" si="13"/>
        <v>0</v>
      </c>
      <c r="U89" s="9">
        <f t="shared" si="13"/>
        <v>0</v>
      </c>
      <c r="V89" s="9">
        <f t="shared" si="13"/>
        <v>0</v>
      </c>
      <c r="W89" s="9">
        <f t="shared" si="13"/>
        <v>0</v>
      </c>
      <c r="X89" s="9">
        <f t="shared" si="13"/>
        <v>0</v>
      </c>
      <c r="Y89" s="9">
        <f t="shared" si="13"/>
        <v>0</v>
      </c>
      <c r="Z89" s="9">
        <f t="shared" si="13"/>
        <v>0</v>
      </c>
      <c r="AA89" s="9">
        <f t="shared" si="13"/>
        <v>0</v>
      </c>
      <c r="AB89" s="9">
        <f t="shared" si="13"/>
        <v>0</v>
      </c>
      <c r="AC89" s="9">
        <f t="shared" si="13"/>
        <v>0</v>
      </c>
      <c r="AD89" s="9">
        <f t="shared" si="13"/>
        <v>0</v>
      </c>
      <c r="AE89" s="9">
        <f t="shared" si="13"/>
        <v>0</v>
      </c>
      <c r="AF89" s="9">
        <f t="shared" si="13"/>
        <v>0</v>
      </c>
      <c r="AG89" s="9">
        <f t="shared" si="13"/>
        <v>0</v>
      </c>
      <c r="AH89" s="9">
        <f t="shared" si="13"/>
        <v>0</v>
      </c>
      <c r="AI89" s="9">
        <f t="shared" si="13"/>
        <v>0</v>
      </c>
      <c r="AJ89" s="9">
        <f t="shared" si="13"/>
        <v>-96665.5</v>
      </c>
      <c r="AK89" s="9">
        <f t="shared" si="13"/>
        <v>0</v>
      </c>
      <c r="AL89" s="9">
        <f t="shared" si="13"/>
        <v>0</v>
      </c>
      <c r="AM89" s="9">
        <f t="shared" si="13"/>
        <v>0</v>
      </c>
      <c r="AN89" s="9">
        <f t="shared" si="13"/>
        <v>0</v>
      </c>
      <c r="AO89" s="9">
        <f t="shared" si="13"/>
        <v>0</v>
      </c>
      <c r="AP89" s="9">
        <f t="shared" si="13"/>
        <v>0</v>
      </c>
      <c r="AQ89" s="9">
        <f t="shared" si="13"/>
        <v>0</v>
      </c>
      <c r="AR89" s="9">
        <f t="shared" si="13"/>
        <v>0</v>
      </c>
      <c r="AS89" s="9">
        <f t="shared" si="13"/>
        <v>0</v>
      </c>
      <c r="AT89" s="9">
        <f t="shared" si="13"/>
        <v>0</v>
      </c>
      <c r="AU89" s="9">
        <f t="shared" si="13"/>
        <v>0</v>
      </c>
      <c r="AV89" s="9">
        <f t="shared" si="13"/>
        <v>0</v>
      </c>
      <c r="AW89" s="9">
        <f t="shared" si="13"/>
        <v>0</v>
      </c>
      <c r="AX89" s="9">
        <f t="shared" si="13"/>
        <v>0</v>
      </c>
      <c r="AY89" s="9">
        <f t="shared" si="13"/>
        <v>0</v>
      </c>
    </row>
    <row r="90" spans="1:51" ht="13" x14ac:dyDescent="0.3">
      <c r="A90" s="12" t="s">
        <v>301</v>
      </c>
      <c r="B90" s="13">
        <f>SUM(D90:AY90)</f>
        <v>13013249.033</v>
      </c>
      <c r="D90" s="13">
        <f t="shared" ref="D90:AY90" si="14">SUM(D86:D89)</f>
        <v>0</v>
      </c>
      <c r="E90" s="13">
        <f t="shared" si="14"/>
        <v>0</v>
      </c>
      <c r="F90" s="13">
        <f t="shared" si="14"/>
        <v>0</v>
      </c>
      <c r="G90" s="13">
        <f t="shared" si="14"/>
        <v>0</v>
      </c>
      <c r="H90" s="13">
        <f t="shared" si="14"/>
        <v>0</v>
      </c>
      <c r="I90" s="13">
        <f t="shared" si="14"/>
        <v>0</v>
      </c>
      <c r="J90" s="13">
        <f t="shared" si="14"/>
        <v>0</v>
      </c>
      <c r="K90" s="13">
        <f t="shared" si="14"/>
        <v>0</v>
      </c>
      <c r="L90" s="13">
        <f t="shared" si="14"/>
        <v>0</v>
      </c>
      <c r="M90" s="13">
        <f t="shared" si="14"/>
        <v>0</v>
      </c>
      <c r="N90" s="13">
        <f t="shared" si="14"/>
        <v>0</v>
      </c>
      <c r="O90" s="13">
        <f t="shared" si="14"/>
        <v>0</v>
      </c>
      <c r="P90" s="13">
        <f t="shared" si="14"/>
        <v>0</v>
      </c>
      <c r="Q90" s="13">
        <f t="shared" si="14"/>
        <v>0</v>
      </c>
      <c r="R90" s="13">
        <f t="shared" si="14"/>
        <v>0</v>
      </c>
      <c r="S90" s="13">
        <f t="shared" si="14"/>
        <v>0</v>
      </c>
      <c r="T90" s="13">
        <f t="shared" si="14"/>
        <v>0</v>
      </c>
      <c r="U90" s="13">
        <f t="shared" si="14"/>
        <v>0</v>
      </c>
      <c r="V90" s="13">
        <f t="shared" si="14"/>
        <v>0</v>
      </c>
      <c r="W90" s="13">
        <f t="shared" si="14"/>
        <v>0</v>
      </c>
      <c r="X90" s="13">
        <f t="shared" si="14"/>
        <v>0</v>
      </c>
      <c r="Y90" s="13">
        <f t="shared" si="14"/>
        <v>0</v>
      </c>
      <c r="Z90" s="13">
        <f t="shared" si="14"/>
        <v>0</v>
      </c>
      <c r="AA90" s="13">
        <f t="shared" si="14"/>
        <v>0</v>
      </c>
      <c r="AB90" s="13">
        <f t="shared" si="14"/>
        <v>0</v>
      </c>
      <c r="AC90" s="13">
        <f t="shared" si="14"/>
        <v>0</v>
      </c>
      <c r="AD90" s="13">
        <f t="shared" si="14"/>
        <v>0</v>
      </c>
      <c r="AE90" s="13">
        <f t="shared" si="14"/>
        <v>13109914.533</v>
      </c>
      <c r="AF90" s="13">
        <f t="shared" si="14"/>
        <v>0</v>
      </c>
      <c r="AG90" s="13">
        <f t="shared" si="14"/>
        <v>0</v>
      </c>
      <c r="AH90" s="13">
        <f t="shared" si="14"/>
        <v>0</v>
      </c>
      <c r="AI90" s="13">
        <f t="shared" si="14"/>
        <v>0</v>
      </c>
      <c r="AJ90" s="13">
        <f t="shared" si="14"/>
        <v>-96665.5</v>
      </c>
      <c r="AK90" s="13">
        <f t="shared" si="14"/>
        <v>0</v>
      </c>
      <c r="AL90" s="13">
        <f t="shared" si="14"/>
        <v>0</v>
      </c>
      <c r="AM90" s="13">
        <f t="shared" si="14"/>
        <v>0</v>
      </c>
      <c r="AN90" s="13">
        <f t="shared" si="14"/>
        <v>0</v>
      </c>
      <c r="AO90" s="13">
        <f t="shared" si="14"/>
        <v>0</v>
      </c>
      <c r="AP90" s="13">
        <f t="shared" si="14"/>
        <v>0</v>
      </c>
      <c r="AQ90" s="13">
        <f t="shared" si="14"/>
        <v>0</v>
      </c>
      <c r="AR90" s="13">
        <f t="shared" si="14"/>
        <v>0</v>
      </c>
      <c r="AS90" s="13">
        <f t="shared" si="14"/>
        <v>0</v>
      </c>
      <c r="AT90" s="13">
        <f t="shared" si="14"/>
        <v>0</v>
      </c>
      <c r="AU90" s="13">
        <f t="shared" si="14"/>
        <v>0</v>
      </c>
      <c r="AV90" s="13">
        <f t="shared" si="14"/>
        <v>0</v>
      </c>
      <c r="AW90" s="13">
        <f t="shared" si="14"/>
        <v>0</v>
      </c>
      <c r="AX90" s="13">
        <f t="shared" si="14"/>
        <v>0</v>
      </c>
      <c r="AY90" s="13">
        <f t="shared" si="14"/>
        <v>0</v>
      </c>
    </row>
    <row r="92" spans="1:51" ht="13" x14ac:dyDescent="0.3">
      <c r="A92" s="18" t="s">
        <v>330</v>
      </c>
    </row>
    <row r="93" spans="1:51" x14ac:dyDescent="0.25">
      <c r="A93" s="4" t="s">
        <v>331</v>
      </c>
      <c r="D93" s="9">
        <f t="shared" ref="D93:AY93" si="15">N(C95)+D83</f>
        <v>0</v>
      </c>
      <c r="E93" s="9">
        <f t="shared" si="15"/>
        <v>0</v>
      </c>
      <c r="F93" s="9">
        <f t="shared" si="15"/>
        <v>0</v>
      </c>
      <c r="G93" s="9">
        <f t="shared" si="15"/>
        <v>0</v>
      </c>
      <c r="H93" s="9">
        <f t="shared" si="15"/>
        <v>0</v>
      </c>
      <c r="I93" s="9">
        <f t="shared" si="15"/>
        <v>0</v>
      </c>
      <c r="J93" s="9">
        <f t="shared" si="15"/>
        <v>0</v>
      </c>
      <c r="K93" s="9">
        <f t="shared" si="15"/>
        <v>440596.26895520359</v>
      </c>
      <c r="L93" s="9">
        <f t="shared" si="15"/>
        <v>657531.69787687366</v>
      </c>
      <c r="M93" s="9">
        <f t="shared" si="15"/>
        <v>876184.53227750701</v>
      </c>
      <c r="N93" s="9">
        <f t="shared" si="15"/>
        <v>1131747.619137106</v>
      </c>
      <c r="O93" s="9">
        <f t="shared" si="15"/>
        <v>1291547.6388697443</v>
      </c>
      <c r="P93" s="9">
        <f t="shared" si="15"/>
        <v>1559259.5177767577</v>
      </c>
      <c r="Q93" s="9">
        <f t="shared" si="15"/>
        <v>1799579.7995787915</v>
      </c>
      <c r="R93" s="9">
        <f t="shared" si="15"/>
        <v>2119341.6169322799</v>
      </c>
      <c r="S93" s="9">
        <f t="shared" si="15"/>
        <v>2513169.2551905406</v>
      </c>
      <c r="T93" s="9">
        <f t="shared" si="15"/>
        <v>2966261.0014176597</v>
      </c>
      <c r="U93" s="9">
        <f t="shared" si="15"/>
        <v>3489385.8057450401</v>
      </c>
      <c r="V93" s="9">
        <f t="shared" si="15"/>
        <v>4023595.4471257171</v>
      </c>
      <c r="W93" s="9">
        <f t="shared" si="15"/>
        <v>4586755.0600189101</v>
      </c>
      <c r="X93" s="9">
        <f t="shared" si="15"/>
        <v>5044906.2370477244</v>
      </c>
      <c r="Y93" s="9">
        <f t="shared" si="15"/>
        <v>5576240.1143196169</v>
      </c>
      <c r="Z93" s="9">
        <f t="shared" si="15"/>
        <v>6182755.1116648866</v>
      </c>
      <c r="AA93" s="9">
        <f t="shared" si="15"/>
        <v>6946512.1419579387</v>
      </c>
      <c r="AB93" s="9">
        <f t="shared" si="15"/>
        <v>7703217.6611141087</v>
      </c>
      <c r="AC93" s="9">
        <f t="shared" si="15"/>
        <v>8329382.9556380957</v>
      </c>
      <c r="AD93" s="9">
        <f t="shared" si="15"/>
        <v>8566420.1812315248</v>
      </c>
      <c r="AE93" s="9">
        <f t="shared" si="15"/>
        <v>8634237.674332941</v>
      </c>
      <c r="AF93" s="9">
        <f t="shared" si="15"/>
        <v>0</v>
      </c>
      <c r="AG93" s="9">
        <f t="shared" si="15"/>
        <v>0</v>
      </c>
      <c r="AH93" s="9">
        <f t="shared" si="15"/>
        <v>0</v>
      </c>
      <c r="AI93" s="9">
        <f t="shared" si="15"/>
        <v>0</v>
      </c>
      <c r="AJ93" s="9">
        <f t="shared" si="15"/>
        <v>0</v>
      </c>
      <c r="AK93" s="9">
        <f t="shared" si="15"/>
        <v>0</v>
      </c>
      <c r="AL93" s="9">
        <f t="shared" si="15"/>
        <v>0</v>
      </c>
      <c r="AM93" s="9">
        <f t="shared" si="15"/>
        <v>0</v>
      </c>
      <c r="AN93" s="9">
        <f t="shared" si="15"/>
        <v>0</v>
      </c>
      <c r="AO93" s="9">
        <f t="shared" si="15"/>
        <v>0</v>
      </c>
      <c r="AP93" s="9">
        <f t="shared" si="15"/>
        <v>0</v>
      </c>
      <c r="AQ93" s="9">
        <f t="shared" si="15"/>
        <v>0</v>
      </c>
      <c r="AR93" s="9">
        <f t="shared" si="15"/>
        <v>0</v>
      </c>
      <c r="AS93" s="9">
        <f t="shared" si="15"/>
        <v>0</v>
      </c>
      <c r="AT93" s="9">
        <f t="shared" si="15"/>
        <v>0</v>
      </c>
      <c r="AU93" s="9">
        <f t="shared" si="15"/>
        <v>0</v>
      </c>
      <c r="AV93" s="9">
        <f t="shared" si="15"/>
        <v>0</v>
      </c>
      <c r="AW93" s="9">
        <f t="shared" si="15"/>
        <v>0</v>
      </c>
      <c r="AX93" s="9">
        <f t="shared" si="15"/>
        <v>0</v>
      </c>
      <c r="AY93" s="9">
        <f t="shared" si="15"/>
        <v>0</v>
      </c>
    </row>
    <row r="94" spans="1:51" x14ac:dyDescent="0.25">
      <c r="A94" s="4" t="s">
        <v>332</v>
      </c>
      <c r="B94" s="9">
        <f>SUM(D94:AY94)</f>
        <v>8634237.674332941</v>
      </c>
      <c r="D94" s="9">
        <f t="shared" ref="D94:AY94" si="16">MIN(MAX(D90,0),D93)</f>
        <v>0</v>
      </c>
      <c r="E94" s="9">
        <f t="shared" si="16"/>
        <v>0</v>
      </c>
      <c r="F94" s="9">
        <f t="shared" si="16"/>
        <v>0</v>
      </c>
      <c r="G94" s="9">
        <f t="shared" si="16"/>
        <v>0</v>
      </c>
      <c r="H94" s="9">
        <f t="shared" si="16"/>
        <v>0</v>
      </c>
      <c r="I94" s="9">
        <f t="shared" si="16"/>
        <v>0</v>
      </c>
      <c r="J94" s="9">
        <f t="shared" si="16"/>
        <v>0</v>
      </c>
      <c r="K94" s="9">
        <f t="shared" si="16"/>
        <v>0</v>
      </c>
      <c r="L94" s="9">
        <f t="shared" si="16"/>
        <v>0</v>
      </c>
      <c r="M94" s="9">
        <f t="shared" si="16"/>
        <v>0</v>
      </c>
      <c r="N94" s="9">
        <f t="shared" si="16"/>
        <v>0</v>
      </c>
      <c r="O94" s="9">
        <f t="shared" si="16"/>
        <v>0</v>
      </c>
      <c r="P94" s="9">
        <f t="shared" si="16"/>
        <v>0</v>
      </c>
      <c r="Q94" s="9">
        <f t="shared" si="16"/>
        <v>0</v>
      </c>
      <c r="R94" s="9">
        <f t="shared" si="16"/>
        <v>0</v>
      </c>
      <c r="S94" s="9">
        <f t="shared" si="16"/>
        <v>0</v>
      </c>
      <c r="T94" s="9">
        <f t="shared" si="16"/>
        <v>0</v>
      </c>
      <c r="U94" s="9">
        <f t="shared" si="16"/>
        <v>0</v>
      </c>
      <c r="V94" s="9">
        <f t="shared" si="16"/>
        <v>0</v>
      </c>
      <c r="W94" s="9">
        <f t="shared" si="16"/>
        <v>0</v>
      </c>
      <c r="X94" s="9">
        <f t="shared" si="16"/>
        <v>0</v>
      </c>
      <c r="Y94" s="9">
        <f t="shared" si="16"/>
        <v>0</v>
      </c>
      <c r="Z94" s="9">
        <f t="shared" si="16"/>
        <v>0</v>
      </c>
      <c r="AA94" s="9">
        <f t="shared" si="16"/>
        <v>0</v>
      </c>
      <c r="AB94" s="9">
        <f t="shared" si="16"/>
        <v>0</v>
      </c>
      <c r="AC94" s="9">
        <f t="shared" si="16"/>
        <v>0</v>
      </c>
      <c r="AD94" s="9">
        <f t="shared" si="16"/>
        <v>0</v>
      </c>
      <c r="AE94" s="9">
        <f t="shared" si="16"/>
        <v>8634237.674332941</v>
      </c>
      <c r="AF94" s="9">
        <f t="shared" si="16"/>
        <v>0</v>
      </c>
      <c r="AG94" s="9">
        <f t="shared" si="16"/>
        <v>0</v>
      </c>
      <c r="AH94" s="9">
        <f t="shared" si="16"/>
        <v>0</v>
      </c>
      <c r="AI94" s="9">
        <f t="shared" si="16"/>
        <v>0</v>
      </c>
      <c r="AJ94" s="9">
        <f t="shared" si="16"/>
        <v>0</v>
      </c>
      <c r="AK94" s="9">
        <f t="shared" si="16"/>
        <v>0</v>
      </c>
      <c r="AL94" s="9">
        <f t="shared" si="16"/>
        <v>0</v>
      </c>
      <c r="AM94" s="9">
        <f t="shared" si="16"/>
        <v>0</v>
      </c>
      <c r="AN94" s="9">
        <f t="shared" si="16"/>
        <v>0</v>
      </c>
      <c r="AO94" s="9">
        <f t="shared" si="16"/>
        <v>0</v>
      </c>
      <c r="AP94" s="9">
        <f t="shared" si="16"/>
        <v>0</v>
      </c>
      <c r="AQ94" s="9">
        <f t="shared" si="16"/>
        <v>0</v>
      </c>
      <c r="AR94" s="9">
        <f t="shared" si="16"/>
        <v>0</v>
      </c>
      <c r="AS94" s="9">
        <f t="shared" si="16"/>
        <v>0</v>
      </c>
      <c r="AT94" s="9">
        <f t="shared" si="16"/>
        <v>0</v>
      </c>
      <c r="AU94" s="9">
        <f t="shared" si="16"/>
        <v>0</v>
      </c>
      <c r="AV94" s="9">
        <f t="shared" si="16"/>
        <v>0</v>
      </c>
      <c r="AW94" s="9">
        <f t="shared" si="16"/>
        <v>0</v>
      </c>
      <c r="AX94" s="9">
        <f t="shared" si="16"/>
        <v>0</v>
      </c>
      <c r="AY94" s="9">
        <f t="shared" si="16"/>
        <v>0</v>
      </c>
    </row>
    <row r="95" spans="1:51" ht="13" x14ac:dyDescent="0.3">
      <c r="A95" s="12" t="s">
        <v>333</v>
      </c>
      <c r="D95" s="13">
        <f t="shared" ref="D95:AY95" si="17">D93-D94</f>
        <v>0</v>
      </c>
      <c r="E95" s="13">
        <f t="shared" si="17"/>
        <v>0</v>
      </c>
      <c r="F95" s="13">
        <f t="shared" si="17"/>
        <v>0</v>
      </c>
      <c r="G95" s="13">
        <f t="shared" si="17"/>
        <v>0</v>
      </c>
      <c r="H95" s="13">
        <f t="shared" si="17"/>
        <v>0</v>
      </c>
      <c r="I95" s="13">
        <f t="shared" si="17"/>
        <v>0</v>
      </c>
      <c r="J95" s="13">
        <f t="shared" si="17"/>
        <v>0</v>
      </c>
      <c r="K95" s="13">
        <f t="shared" si="17"/>
        <v>440596.26895520359</v>
      </c>
      <c r="L95" s="13">
        <f t="shared" si="17"/>
        <v>657531.69787687366</v>
      </c>
      <c r="M95" s="13">
        <f t="shared" si="17"/>
        <v>876184.53227750701</v>
      </c>
      <c r="N95" s="13">
        <f t="shared" si="17"/>
        <v>1131747.619137106</v>
      </c>
      <c r="O95" s="13">
        <f t="shared" si="17"/>
        <v>1291547.6388697443</v>
      </c>
      <c r="P95" s="13">
        <f t="shared" si="17"/>
        <v>1559259.5177767577</v>
      </c>
      <c r="Q95" s="13">
        <f t="shared" si="17"/>
        <v>1799579.7995787915</v>
      </c>
      <c r="R95" s="13">
        <f t="shared" si="17"/>
        <v>2119341.6169322799</v>
      </c>
      <c r="S95" s="13">
        <f t="shared" si="17"/>
        <v>2513169.2551905406</v>
      </c>
      <c r="T95" s="13">
        <f t="shared" si="17"/>
        <v>2966261.0014176597</v>
      </c>
      <c r="U95" s="13">
        <f t="shared" si="17"/>
        <v>3489385.8057450401</v>
      </c>
      <c r="V95" s="13">
        <f t="shared" si="17"/>
        <v>4023595.4471257171</v>
      </c>
      <c r="W95" s="13">
        <f t="shared" si="17"/>
        <v>4586755.0600189101</v>
      </c>
      <c r="X95" s="13">
        <f t="shared" si="17"/>
        <v>5044906.2370477244</v>
      </c>
      <c r="Y95" s="13">
        <f t="shared" si="17"/>
        <v>5576240.1143196169</v>
      </c>
      <c r="Z95" s="13">
        <f t="shared" si="17"/>
        <v>6182755.1116648866</v>
      </c>
      <c r="AA95" s="13">
        <f t="shared" si="17"/>
        <v>6946512.1419579387</v>
      </c>
      <c r="AB95" s="13">
        <f t="shared" si="17"/>
        <v>7703217.6611141087</v>
      </c>
      <c r="AC95" s="13">
        <f t="shared" si="17"/>
        <v>8329382.9556380957</v>
      </c>
      <c r="AD95" s="13">
        <f t="shared" si="17"/>
        <v>8566420.1812315248</v>
      </c>
      <c r="AE95" s="13">
        <f t="shared" si="17"/>
        <v>0</v>
      </c>
      <c r="AF95" s="13">
        <f t="shared" si="17"/>
        <v>0</v>
      </c>
      <c r="AG95" s="13">
        <f t="shared" si="17"/>
        <v>0</v>
      </c>
      <c r="AH95" s="13">
        <f t="shared" si="17"/>
        <v>0</v>
      </c>
      <c r="AI95" s="13">
        <f t="shared" si="17"/>
        <v>0</v>
      </c>
      <c r="AJ95" s="13">
        <f t="shared" si="17"/>
        <v>0</v>
      </c>
      <c r="AK95" s="13">
        <f t="shared" si="17"/>
        <v>0</v>
      </c>
      <c r="AL95" s="13">
        <f t="shared" si="17"/>
        <v>0</v>
      </c>
      <c r="AM95" s="13">
        <f t="shared" si="17"/>
        <v>0</v>
      </c>
      <c r="AN95" s="13">
        <f t="shared" si="17"/>
        <v>0</v>
      </c>
      <c r="AO95" s="13">
        <f t="shared" si="17"/>
        <v>0</v>
      </c>
      <c r="AP95" s="13">
        <f t="shared" si="17"/>
        <v>0</v>
      </c>
      <c r="AQ95" s="13">
        <f t="shared" si="17"/>
        <v>0</v>
      </c>
      <c r="AR95" s="13">
        <f t="shared" si="17"/>
        <v>0</v>
      </c>
      <c r="AS95" s="13">
        <f t="shared" si="17"/>
        <v>0</v>
      </c>
      <c r="AT95" s="13">
        <f t="shared" si="17"/>
        <v>0</v>
      </c>
      <c r="AU95" s="13">
        <f t="shared" si="17"/>
        <v>0</v>
      </c>
      <c r="AV95" s="13">
        <f t="shared" si="17"/>
        <v>0</v>
      </c>
      <c r="AW95" s="13">
        <f t="shared" si="17"/>
        <v>0</v>
      </c>
      <c r="AX95" s="13">
        <f t="shared" si="17"/>
        <v>0</v>
      </c>
      <c r="AY95" s="13">
        <f t="shared" si="17"/>
        <v>0</v>
      </c>
    </row>
    <row r="97" spans="1:51" ht="13" x14ac:dyDescent="0.3">
      <c r="A97" s="18" t="s">
        <v>334</v>
      </c>
    </row>
    <row r="98" spans="1:51" x14ac:dyDescent="0.25">
      <c r="A98" s="4" t="s">
        <v>335</v>
      </c>
      <c r="B98" s="9">
        <f>SUM(D98:AY98)</f>
        <v>4379011.3586670589</v>
      </c>
      <c r="D98" s="9">
        <f t="shared" ref="D98:AY98" si="18">D90-D94</f>
        <v>0</v>
      </c>
      <c r="E98" s="9">
        <f t="shared" si="18"/>
        <v>0</v>
      </c>
      <c r="F98" s="9">
        <f t="shared" si="18"/>
        <v>0</v>
      </c>
      <c r="G98" s="9">
        <f t="shared" si="18"/>
        <v>0</v>
      </c>
      <c r="H98" s="9">
        <f t="shared" si="18"/>
        <v>0</v>
      </c>
      <c r="I98" s="9">
        <f t="shared" si="18"/>
        <v>0</v>
      </c>
      <c r="J98" s="9">
        <f t="shared" si="18"/>
        <v>0</v>
      </c>
      <c r="K98" s="9">
        <f t="shared" si="18"/>
        <v>0</v>
      </c>
      <c r="L98" s="9">
        <f t="shared" si="18"/>
        <v>0</v>
      </c>
      <c r="M98" s="9">
        <f t="shared" si="18"/>
        <v>0</v>
      </c>
      <c r="N98" s="9">
        <f t="shared" si="18"/>
        <v>0</v>
      </c>
      <c r="O98" s="9">
        <f t="shared" si="18"/>
        <v>0</v>
      </c>
      <c r="P98" s="9">
        <f t="shared" si="18"/>
        <v>0</v>
      </c>
      <c r="Q98" s="9">
        <f t="shared" si="18"/>
        <v>0</v>
      </c>
      <c r="R98" s="9">
        <f t="shared" si="18"/>
        <v>0</v>
      </c>
      <c r="S98" s="9">
        <f t="shared" si="18"/>
        <v>0</v>
      </c>
      <c r="T98" s="9">
        <f t="shared" si="18"/>
        <v>0</v>
      </c>
      <c r="U98" s="9">
        <f t="shared" si="18"/>
        <v>0</v>
      </c>
      <c r="V98" s="9">
        <f t="shared" si="18"/>
        <v>0</v>
      </c>
      <c r="W98" s="9">
        <f t="shared" si="18"/>
        <v>0</v>
      </c>
      <c r="X98" s="9">
        <f t="shared" si="18"/>
        <v>0</v>
      </c>
      <c r="Y98" s="9">
        <f t="shared" si="18"/>
        <v>0</v>
      </c>
      <c r="Z98" s="9">
        <f t="shared" si="18"/>
        <v>0</v>
      </c>
      <c r="AA98" s="9">
        <f t="shared" si="18"/>
        <v>0</v>
      </c>
      <c r="AB98" s="9">
        <f t="shared" si="18"/>
        <v>0</v>
      </c>
      <c r="AC98" s="9">
        <f t="shared" si="18"/>
        <v>0</v>
      </c>
      <c r="AD98" s="9">
        <f t="shared" si="18"/>
        <v>0</v>
      </c>
      <c r="AE98" s="9">
        <f t="shared" si="18"/>
        <v>4475676.8586670589</v>
      </c>
      <c r="AF98" s="9">
        <f t="shared" si="18"/>
        <v>0</v>
      </c>
      <c r="AG98" s="9">
        <f t="shared" si="18"/>
        <v>0</v>
      </c>
      <c r="AH98" s="9">
        <f t="shared" si="18"/>
        <v>0</v>
      </c>
      <c r="AI98" s="9">
        <f t="shared" si="18"/>
        <v>0</v>
      </c>
      <c r="AJ98" s="9">
        <f t="shared" si="18"/>
        <v>-96665.5</v>
      </c>
      <c r="AK98" s="9">
        <f t="shared" si="18"/>
        <v>0</v>
      </c>
      <c r="AL98" s="9">
        <f t="shared" si="18"/>
        <v>0</v>
      </c>
      <c r="AM98" s="9">
        <f t="shared" si="18"/>
        <v>0</v>
      </c>
      <c r="AN98" s="9">
        <f t="shared" si="18"/>
        <v>0</v>
      </c>
      <c r="AO98" s="9">
        <f t="shared" si="18"/>
        <v>0</v>
      </c>
      <c r="AP98" s="9">
        <f t="shared" si="18"/>
        <v>0</v>
      </c>
      <c r="AQ98" s="9">
        <f t="shared" si="18"/>
        <v>0</v>
      </c>
      <c r="AR98" s="9">
        <f t="shared" si="18"/>
        <v>0</v>
      </c>
      <c r="AS98" s="9">
        <f t="shared" si="18"/>
        <v>0</v>
      </c>
      <c r="AT98" s="9">
        <f t="shared" si="18"/>
        <v>0</v>
      </c>
      <c r="AU98" s="9">
        <f t="shared" si="18"/>
        <v>0</v>
      </c>
      <c r="AV98" s="9">
        <f t="shared" si="18"/>
        <v>0</v>
      </c>
      <c r="AW98" s="9">
        <f t="shared" si="18"/>
        <v>0</v>
      </c>
      <c r="AX98" s="9">
        <f t="shared" si="18"/>
        <v>0</v>
      </c>
      <c r="AY98" s="9">
        <f t="shared" si="18"/>
        <v>0</v>
      </c>
    </row>
    <row r="99" spans="1:51" ht="13" x14ac:dyDescent="0.3">
      <c r="A99" s="12" t="s">
        <v>336</v>
      </c>
      <c r="B99" s="13">
        <f>SUM(D99:AY99)</f>
        <v>-22611.51540701557</v>
      </c>
      <c r="D99" s="13">
        <f t="shared" ref="D99:AY99" si="19">D98-D81</f>
        <v>-4057374.6962962961</v>
      </c>
      <c r="E99" s="13">
        <f t="shared" si="19"/>
        <v>-57374.696296296308</v>
      </c>
      <c r="F99" s="13">
        <f t="shared" si="19"/>
        <v>-57374.696296296308</v>
      </c>
      <c r="G99" s="13">
        <f t="shared" si="19"/>
        <v>-57374.696296296308</v>
      </c>
      <c r="H99" s="13">
        <f t="shared" si="19"/>
        <v>-57374.696296296308</v>
      </c>
      <c r="I99" s="13">
        <f t="shared" si="19"/>
        <v>-57374.696296296308</v>
      </c>
      <c r="J99" s="13">
        <f t="shared" si="19"/>
        <v>-57374.696296296308</v>
      </c>
      <c r="K99" s="13">
        <f t="shared" si="19"/>
        <v>-1.862645149230957E-9</v>
      </c>
      <c r="L99" s="13">
        <f t="shared" si="19"/>
        <v>0</v>
      </c>
      <c r="M99" s="13">
        <f t="shared" si="19"/>
        <v>0</v>
      </c>
      <c r="N99" s="13">
        <f t="shared" si="19"/>
        <v>0</v>
      </c>
      <c r="O99" s="13">
        <f t="shared" si="19"/>
        <v>0</v>
      </c>
      <c r="P99" s="13">
        <f t="shared" si="19"/>
        <v>0</v>
      </c>
      <c r="Q99" s="13">
        <f t="shared" si="19"/>
        <v>0</v>
      </c>
      <c r="R99" s="13">
        <f t="shared" si="19"/>
        <v>0</v>
      </c>
      <c r="S99" s="13">
        <f t="shared" si="19"/>
        <v>0</v>
      </c>
      <c r="T99" s="13">
        <f t="shared" si="19"/>
        <v>0</v>
      </c>
      <c r="U99" s="13">
        <f t="shared" si="19"/>
        <v>0</v>
      </c>
      <c r="V99" s="13">
        <f t="shared" si="19"/>
        <v>0</v>
      </c>
      <c r="W99" s="13">
        <f t="shared" si="19"/>
        <v>0</v>
      </c>
      <c r="X99" s="13">
        <f t="shared" si="19"/>
        <v>0</v>
      </c>
      <c r="Y99" s="13">
        <f t="shared" si="19"/>
        <v>0</v>
      </c>
      <c r="Z99" s="13">
        <f t="shared" si="19"/>
        <v>0</v>
      </c>
      <c r="AA99" s="13">
        <f t="shared" si="19"/>
        <v>0</v>
      </c>
      <c r="AB99" s="13">
        <f t="shared" si="19"/>
        <v>0</v>
      </c>
      <c r="AC99" s="13">
        <f t="shared" si="19"/>
        <v>0</v>
      </c>
      <c r="AD99" s="13">
        <f t="shared" si="19"/>
        <v>0</v>
      </c>
      <c r="AE99" s="13">
        <f t="shared" si="19"/>
        <v>4475676.8586670589</v>
      </c>
      <c r="AF99" s="13">
        <f t="shared" si="19"/>
        <v>0</v>
      </c>
      <c r="AG99" s="13">
        <f t="shared" si="19"/>
        <v>0</v>
      </c>
      <c r="AH99" s="13">
        <f t="shared" si="19"/>
        <v>0</v>
      </c>
      <c r="AI99" s="13">
        <f t="shared" si="19"/>
        <v>0</v>
      </c>
      <c r="AJ99" s="13">
        <f t="shared" si="19"/>
        <v>-96665.5</v>
      </c>
      <c r="AK99" s="13">
        <f t="shared" si="19"/>
        <v>0</v>
      </c>
      <c r="AL99" s="13">
        <f t="shared" si="19"/>
        <v>0</v>
      </c>
      <c r="AM99" s="13">
        <f t="shared" si="19"/>
        <v>0</v>
      </c>
      <c r="AN99" s="13">
        <f t="shared" si="19"/>
        <v>0</v>
      </c>
      <c r="AO99" s="13">
        <f t="shared" si="19"/>
        <v>0</v>
      </c>
      <c r="AP99" s="13">
        <f t="shared" si="19"/>
        <v>0</v>
      </c>
      <c r="AQ99" s="13">
        <f t="shared" si="19"/>
        <v>0</v>
      </c>
      <c r="AR99" s="13">
        <f t="shared" si="19"/>
        <v>0</v>
      </c>
      <c r="AS99" s="13">
        <f t="shared" si="19"/>
        <v>0</v>
      </c>
      <c r="AT99" s="13">
        <f t="shared" si="19"/>
        <v>0</v>
      </c>
      <c r="AU99" s="13">
        <f t="shared" si="19"/>
        <v>0</v>
      </c>
      <c r="AV99" s="13">
        <f t="shared" si="19"/>
        <v>0</v>
      </c>
      <c r="AW99" s="13">
        <f t="shared" si="19"/>
        <v>0</v>
      </c>
      <c r="AX99" s="13">
        <f t="shared" si="19"/>
        <v>0</v>
      </c>
      <c r="AY99" s="13">
        <f t="shared" si="19"/>
        <v>0</v>
      </c>
    </row>
    <row r="101" spans="1:51" ht="13" x14ac:dyDescent="0.3">
      <c r="A101" s="18" t="s">
        <v>337</v>
      </c>
    </row>
    <row r="102" spans="1:51" x14ac:dyDescent="0.25">
      <c r="A102" s="4" t="s">
        <v>338</v>
      </c>
      <c r="D102" s="9">
        <f t="shared" ref="D102:AY102" si="20">N(C104)*(1+$B$19)^(1/12)+D81</f>
        <v>4057374.6962962961</v>
      </c>
      <c r="E102" s="9">
        <f t="shared" si="20"/>
        <v>4140854.6635561287</v>
      </c>
      <c r="F102" s="9">
        <f t="shared" si="20"/>
        <v>4224871.743438893</v>
      </c>
      <c r="G102" s="9">
        <f t="shared" si="20"/>
        <v>4309429.3917433778</v>
      </c>
      <c r="H102" s="9">
        <f t="shared" si="20"/>
        <v>4394531.0865030847</v>
      </c>
      <c r="I102" s="9">
        <f t="shared" si="20"/>
        <v>4480180.3281292878</v>
      </c>
      <c r="J102" s="9">
        <f t="shared" si="20"/>
        <v>4566380.6395550128</v>
      </c>
      <c r="K102" s="9">
        <f t="shared" si="20"/>
        <v>4595760.8700836487</v>
      </c>
      <c r="L102" s="9">
        <f t="shared" si="20"/>
        <v>4625330.1339001423</v>
      </c>
      <c r="M102" s="9">
        <f t="shared" si="20"/>
        <v>4655089.6472503617</v>
      </c>
      <c r="N102" s="9">
        <f t="shared" si="20"/>
        <v>4685040.634205536</v>
      </c>
      <c r="O102" s="9">
        <f t="shared" si="20"/>
        <v>4715184.3267126037</v>
      </c>
      <c r="P102" s="9">
        <f t="shared" si="20"/>
        <v>4745521.9646448884</v>
      </c>
      <c r="Q102" s="9">
        <f t="shared" si="20"/>
        <v>4776054.7958530961</v>
      </c>
      <c r="R102" s="9">
        <f t="shared" si="20"/>
        <v>4806784.0762166409</v>
      </c>
      <c r="S102" s="9">
        <f t="shared" si="20"/>
        <v>4837711.0696953041</v>
      </c>
      <c r="T102" s="9">
        <f t="shared" si="20"/>
        <v>4868837.0483812205</v>
      </c>
      <c r="U102" s="9">
        <f t="shared" si="20"/>
        <v>4900163.2925512055</v>
      </c>
      <c r="V102" s="9">
        <f t="shared" si="20"/>
        <v>4931691.0907194139</v>
      </c>
      <c r="W102" s="9">
        <f t="shared" si="20"/>
        <v>4963421.7396903383</v>
      </c>
      <c r="X102" s="9">
        <f t="shared" si="20"/>
        <v>4995356.5446121516</v>
      </c>
      <c r="Y102" s="9">
        <f t="shared" si="20"/>
        <v>5027496.8190303892</v>
      </c>
      <c r="Z102" s="9">
        <f t="shared" si="20"/>
        <v>5059843.8849419774</v>
      </c>
      <c r="AA102" s="9">
        <f t="shared" si="20"/>
        <v>5092399.0728496108</v>
      </c>
      <c r="AB102" s="9">
        <f t="shared" si="20"/>
        <v>5125163.7218164792</v>
      </c>
      <c r="AC102" s="9">
        <f t="shared" si="20"/>
        <v>5158139.1795213437</v>
      </c>
      <c r="AD102" s="9">
        <f t="shared" si="20"/>
        <v>5191326.8023139723</v>
      </c>
      <c r="AE102" s="9">
        <f t="shared" si="20"/>
        <v>5224727.9552709283</v>
      </c>
      <c r="AF102" s="9">
        <f t="shared" si="20"/>
        <v>753870.51391334983</v>
      </c>
      <c r="AG102" s="9">
        <f t="shared" si="20"/>
        <v>758720.93949891208</v>
      </c>
      <c r="AH102" s="9">
        <f t="shared" si="20"/>
        <v>763602.57286873821</v>
      </c>
      <c r="AI102" s="9">
        <f t="shared" si="20"/>
        <v>768515.61481465178</v>
      </c>
      <c r="AJ102" s="9">
        <f t="shared" si="20"/>
        <v>773460.267420377</v>
      </c>
      <c r="AK102" s="9">
        <f t="shared" si="20"/>
        <v>778436.73406985099</v>
      </c>
      <c r="AL102" s="9">
        <f t="shared" si="20"/>
        <v>783445.21945558919</v>
      </c>
      <c r="AM102" s="9">
        <f t="shared" si="20"/>
        <v>788485.92958710471</v>
      </c>
      <c r="AN102" s="9">
        <f t="shared" si="20"/>
        <v>793559.07179938222</v>
      </c>
      <c r="AO102" s="9">
        <f t="shared" si="20"/>
        <v>798664.85476140585</v>
      </c>
      <c r="AP102" s="9">
        <f t="shared" si="20"/>
        <v>803803.48848474224</v>
      </c>
      <c r="AQ102" s="9">
        <f t="shared" si="20"/>
        <v>808975.18433217891</v>
      </c>
      <c r="AR102" s="9">
        <f t="shared" si="20"/>
        <v>814180.15502641769</v>
      </c>
      <c r="AS102" s="9">
        <f t="shared" si="20"/>
        <v>819418.61465882487</v>
      </c>
      <c r="AT102" s="9">
        <f t="shared" si="20"/>
        <v>824690.77869823703</v>
      </c>
      <c r="AU102" s="9">
        <f t="shared" si="20"/>
        <v>829996.86399982369</v>
      </c>
      <c r="AV102" s="9">
        <f t="shared" si="20"/>
        <v>835337.088814007</v>
      </c>
      <c r="AW102" s="9">
        <f t="shared" si="20"/>
        <v>840711.67279543891</v>
      </c>
      <c r="AX102" s="9">
        <f t="shared" si="20"/>
        <v>846120.83701203612</v>
      </c>
      <c r="AY102" s="9">
        <f t="shared" si="20"/>
        <v>851564.80395407288</v>
      </c>
    </row>
    <row r="103" spans="1:51" x14ac:dyDescent="0.25">
      <c r="A103" s="4" t="s">
        <v>339</v>
      </c>
      <c r="B103" s="9">
        <f>SUM(D103:AY103)</f>
        <v>4475676.8586670589</v>
      </c>
      <c r="D103" s="9">
        <f t="shared" ref="D103:AY103" si="21">MIN(MAX(D98,0),D102)</f>
        <v>0</v>
      </c>
      <c r="E103" s="9">
        <f t="shared" si="21"/>
        <v>0</v>
      </c>
      <c r="F103" s="9">
        <f t="shared" si="21"/>
        <v>0</v>
      </c>
      <c r="G103" s="9">
        <f t="shared" si="21"/>
        <v>0</v>
      </c>
      <c r="H103" s="9">
        <f t="shared" si="21"/>
        <v>0</v>
      </c>
      <c r="I103" s="9">
        <f t="shared" si="21"/>
        <v>0</v>
      </c>
      <c r="J103" s="9">
        <f t="shared" si="21"/>
        <v>0</v>
      </c>
      <c r="K103" s="9">
        <f t="shared" si="21"/>
        <v>0</v>
      </c>
      <c r="L103" s="9">
        <f t="shared" si="21"/>
        <v>0</v>
      </c>
      <c r="M103" s="9">
        <f t="shared" si="21"/>
        <v>0</v>
      </c>
      <c r="N103" s="9">
        <f t="shared" si="21"/>
        <v>0</v>
      </c>
      <c r="O103" s="9">
        <f t="shared" si="21"/>
        <v>0</v>
      </c>
      <c r="P103" s="9">
        <f t="shared" si="21"/>
        <v>0</v>
      </c>
      <c r="Q103" s="9">
        <f t="shared" si="21"/>
        <v>0</v>
      </c>
      <c r="R103" s="9">
        <f t="shared" si="21"/>
        <v>0</v>
      </c>
      <c r="S103" s="9">
        <f t="shared" si="21"/>
        <v>0</v>
      </c>
      <c r="T103" s="9">
        <f t="shared" si="21"/>
        <v>0</v>
      </c>
      <c r="U103" s="9">
        <f t="shared" si="21"/>
        <v>0</v>
      </c>
      <c r="V103" s="9">
        <f t="shared" si="21"/>
        <v>0</v>
      </c>
      <c r="W103" s="9">
        <f t="shared" si="21"/>
        <v>0</v>
      </c>
      <c r="X103" s="9">
        <f t="shared" si="21"/>
        <v>0</v>
      </c>
      <c r="Y103" s="9">
        <f t="shared" si="21"/>
        <v>0</v>
      </c>
      <c r="Z103" s="9">
        <f t="shared" si="21"/>
        <v>0</v>
      </c>
      <c r="AA103" s="9">
        <f t="shared" si="21"/>
        <v>0</v>
      </c>
      <c r="AB103" s="9">
        <f t="shared" si="21"/>
        <v>0</v>
      </c>
      <c r="AC103" s="9">
        <f t="shared" si="21"/>
        <v>0</v>
      </c>
      <c r="AD103" s="9">
        <f t="shared" si="21"/>
        <v>0</v>
      </c>
      <c r="AE103" s="9">
        <f t="shared" si="21"/>
        <v>4475676.8586670589</v>
      </c>
      <c r="AF103" s="9">
        <f t="shared" si="21"/>
        <v>0</v>
      </c>
      <c r="AG103" s="9">
        <f t="shared" si="21"/>
        <v>0</v>
      </c>
      <c r="AH103" s="9">
        <f t="shared" si="21"/>
        <v>0</v>
      </c>
      <c r="AI103" s="9">
        <f t="shared" si="21"/>
        <v>0</v>
      </c>
      <c r="AJ103" s="9">
        <f t="shared" si="21"/>
        <v>0</v>
      </c>
      <c r="AK103" s="9">
        <f t="shared" si="21"/>
        <v>0</v>
      </c>
      <c r="AL103" s="9">
        <f t="shared" si="21"/>
        <v>0</v>
      </c>
      <c r="AM103" s="9">
        <f t="shared" si="21"/>
        <v>0</v>
      </c>
      <c r="AN103" s="9">
        <f t="shared" si="21"/>
        <v>0</v>
      </c>
      <c r="AO103" s="9">
        <f t="shared" si="21"/>
        <v>0</v>
      </c>
      <c r="AP103" s="9">
        <f t="shared" si="21"/>
        <v>0</v>
      </c>
      <c r="AQ103" s="9">
        <f t="shared" si="21"/>
        <v>0</v>
      </c>
      <c r="AR103" s="9">
        <f t="shared" si="21"/>
        <v>0</v>
      </c>
      <c r="AS103" s="9">
        <f t="shared" si="21"/>
        <v>0</v>
      </c>
      <c r="AT103" s="9">
        <f t="shared" si="21"/>
        <v>0</v>
      </c>
      <c r="AU103" s="9">
        <f t="shared" si="21"/>
        <v>0</v>
      </c>
      <c r="AV103" s="9">
        <f t="shared" si="21"/>
        <v>0</v>
      </c>
      <c r="AW103" s="9">
        <f t="shared" si="21"/>
        <v>0</v>
      </c>
      <c r="AX103" s="9">
        <f t="shared" si="21"/>
        <v>0</v>
      </c>
      <c r="AY103" s="9">
        <f t="shared" si="21"/>
        <v>0</v>
      </c>
    </row>
    <row r="104" spans="1:51" x14ac:dyDescent="0.25">
      <c r="A104" s="4" t="s">
        <v>340</v>
      </c>
      <c r="D104" s="9">
        <f t="shared" ref="D104:AY104" si="22">D102-D103</f>
        <v>4057374.6962962961</v>
      </c>
      <c r="E104" s="9">
        <f t="shared" si="22"/>
        <v>4140854.6635561287</v>
      </c>
      <c r="F104" s="9">
        <f t="shared" si="22"/>
        <v>4224871.743438893</v>
      </c>
      <c r="G104" s="9">
        <f t="shared" si="22"/>
        <v>4309429.3917433778</v>
      </c>
      <c r="H104" s="9">
        <f t="shared" si="22"/>
        <v>4394531.0865030847</v>
      </c>
      <c r="I104" s="9">
        <f t="shared" si="22"/>
        <v>4480180.3281292878</v>
      </c>
      <c r="J104" s="9">
        <f t="shared" si="22"/>
        <v>4566380.6395550128</v>
      </c>
      <c r="K104" s="9">
        <f t="shared" si="22"/>
        <v>4595760.8700836487</v>
      </c>
      <c r="L104" s="9">
        <f t="shared" si="22"/>
        <v>4625330.1339001423</v>
      </c>
      <c r="M104" s="9">
        <f t="shared" si="22"/>
        <v>4655089.6472503617</v>
      </c>
      <c r="N104" s="9">
        <f t="shared" si="22"/>
        <v>4685040.634205536</v>
      </c>
      <c r="O104" s="9">
        <f t="shared" si="22"/>
        <v>4715184.3267126037</v>
      </c>
      <c r="P104" s="9">
        <f t="shared" si="22"/>
        <v>4745521.9646448884</v>
      </c>
      <c r="Q104" s="9">
        <f t="shared" si="22"/>
        <v>4776054.7958530961</v>
      </c>
      <c r="R104" s="9">
        <f t="shared" si="22"/>
        <v>4806784.0762166409</v>
      </c>
      <c r="S104" s="9">
        <f t="shared" si="22"/>
        <v>4837711.0696953041</v>
      </c>
      <c r="T104" s="9">
        <f t="shared" si="22"/>
        <v>4868837.0483812205</v>
      </c>
      <c r="U104" s="9">
        <f t="shared" si="22"/>
        <v>4900163.2925512055</v>
      </c>
      <c r="V104" s="9">
        <f t="shared" si="22"/>
        <v>4931691.0907194139</v>
      </c>
      <c r="W104" s="9">
        <f t="shared" si="22"/>
        <v>4963421.7396903383</v>
      </c>
      <c r="X104" s="9">
        <f t="shared" si="22"/>
        <v>4995356.5446121516</v>
      </c>
      <c r="Y104" s="9">
        <f t="shared" si="22"/>
        <v>5027496.8190303892</v>
      </c>
      <c r="Z104" s="9">
        <f t="shared" si="22"/>
        <v>5059843.8849419774</v>
      </c>
      <c r="AA104" s="9">
        <f t="shared" si="22"/>
        <v>5092399.0728496108</v>
      </c>
      <c r="AB104" s="9">
        <f t="shared" si="22"/>
        <v>5125163.7218164792</v>
      </c>
      <c r="AC104" s="9">
        <f t="shared" si="22"/>
        <v>5158139.1795213437</v>
      </c>
      <c r="AD104" s="9">
        <f t="shared" si="22"/>
        <v>5191326.8023139723</v>
      </c>
      <c r="AE104" s="9">
        <f t="shared" si="22"/>
        <v>749051.09660386946</v>
      </c>
      <c r="AF104" s="9">
        <f t="shared" si="22"/>
        <v>753870.51391334983</v>
      </c>
      <c r="AG104" s="9">
        <f t="shared" si="22"/>
        <v>758720.93949891208</v>
      </c>
      <c r="AH104" s="9">
        <f t="shared" si="22"/>
        <v>763602.57286873821</v>
      </c>
      <c r="AI104" s="9">
        <f t="shared" si="22"/>
        <v>768515.61481465178</v>
      </c>
      <c r="AJ104" s="9">
        <f t="shared" si="22"/>
        <v>773460.267420377</v>
      </c>
      <c r="AK104" s="9">
        <f t="shared" si="22"/>
        <v>778436.73406985099</v>
      </c>
      <c r="AL104" s="9">
        <f t="shared" si="22"/>
        <v>783445.21945558919</v>
      </c>
      <c r="AM104" s="9">
        <f t="shared" si="22"/>
        <v>788485.92958710471</v>
      </c>
      <c r="AN104" s="9">
        <f t="shared" si="22"/>
        <v>793559.07179938222</v>
      </c>
      <c r="AO104" s="9">
        <f t="shared" si="22"/>
        <v>798664.85476140585</v>
      </c>
      <c r="AP104" s="9">
        <f t="shared" si="22"/>
        <v>803803.48848474224</v>
      </c>
      <c r="AQ104" s="9">
        <f t="shared" si="22"/>
        <v>808975.18433217891</v>
      </c>
      <c r="AR104" s="9">
        <f t="shared" si="22"/>
        <v>814180.15502641769</v>
      </c>
      <c r="AS104" s="9">
        <f t="shared" si="22"/>
        <v>819418.61465882487</v>
      </c>
      <c r="AT104" s="9">
        <f t="shared" si="22"/>
        <v>824690.77869823703</v>
      </c>
      <c r="AU104" s="9">
        <f t="shared" si="22"/>
        <v>829996.86399982369</v>
      </c>
      <c r="AV104" s="9">
        <f t="shared" si="22"/>
        <v>835337.088814007</v>
      </c>
      <c r="AW104" s="9">
        <f t="shared" si="22"/>
        <v>840711.67279543891</v>
      </c>
      <c r="AX104" s="9">
        <f t="shared" si="22"/>
        <v>846120.83701203612</v>
      </c>
      <c r="AY104" s="9">
        <f t="shared" si="22"/>
        <v>851564.80395407288</v>
      </c>
    </row>
    <row r="105" spans="1:51" x14ac:dyDescent="0.25">
      <c r="A105" s="4" t="s">
        <v>341</v>
      </c>
      <c r="B105" s="9">
        <f>SUM(D105:AY105)</f>
        <v>0</v>
      </c>
      <c r="D105" s="9">
        <f t="shared" ref="D105:AY105" si="23">MAX(D98,0)-D103</f>
        <v>0</v>
      </c>
      <c r="E105" s="9">
        <f t="shared" si="23"/>
        <v>0</v>
      </c>
      <c r="F105" s="9">
        <f t="shared" si="23"/>
        <v>0</v>
      </c>
      <c r="G105" s="9">
        <f t="shared" si="23"/>
        <v>0</v>
      </c>
      <c r="H105" s="9">
        <f t="shared" si="23"/>
        <v>0</v>
      </c>
      <c r="I105" s="9">
        <f t="shared" si="23"/>
        <v>0</v>
      </c>
      <c r="J105" s="9">
        <f t="shared" si="23"/>
        <v>0</v>
      </c>
      <c r="K105" s="9">
        <f t="shared" si="23"/>
        <v>0</v>
      </c>
      <c r="L105" s="9">
        <f t="shared" si="23"/>
        <v>0</v>
      </c>
      <c r="M105" s="9">
        <f t="shared" si="23"/>
        <v>0</v>
      </c>
      <c r="N105" s="9">
        <f t="shared" si="23"/>
        <v>0</v>
      </c>
      <c r="O105" s="9">
        <f t="shared" si="23"/>
        <v>0</v>
      </c>
      <c r="P105" s="9">
        <f t="shared" si="23"/>
        <v>0</v>
      </c>
      <c r="Q105" s="9">
        <f t="shared" si="23"/>
        <v>0</v>
      </c>
      <c r="R105" s="9">
        <f t="shared" si="23"/>
        <v>0</v>
      </c>
      <c r="S105" s="9">
        <f t="shared" si="23"/>
        <v>0</v>
      </c>
      <c r="T105" s="9">
        <f t="shared" si="23"/>
        <v>0</v>
      </c>
      <c r="U105" s="9">
        <f t="shared" si="23"/>
        <v>0</v>
      </c>
      <c r="V105" s="9">
        <f t="shared" si="23"/>
        <v>0</v>
      </c>
      <c r="W105" s="9">
        <f t="shared" si="23"/>
        <v>0</v>
      </c>
      <c r="X105" s="9">
        <f t="shared" si="23"/>
        <v>0</v>
      </c>
      <c r="Y105" s="9">
        <f t="shared" si="23"/>
        <v>0</v>
      </c>
      <c r="Z105" s="9">
        <f t="shared" si="23"/>
        <v>0</v>
      </c>
      <c r="AA105" s="9">
        <f t="shared" si="23"/>
        <v>0</v>
      </c>
      <c r="AB105" s="9">
        <f t="shared" si="23"/>
        <v>0</v>
      </c>
      <c r="AC105" s="9">
        <f t="shared" si="23"/>
        <v>0</v>
      </c>
      <c r="AD105" s="9">
        <f t="shared" si="23"/>
        <v>0</v>
      </c>
      <c r="AE105" s="9">
        <f t="shared" si="23"/>
        <v>0</v>
      </c>
      <c r="AF105" s="9">
        <f t="shared" si="23"/>
        <v>0</v>
      </c>
      <c r="AG105" s="9">
        <f t="shared" si="23"/>
        <v>0</v>
      </c>
      <c r="AH105" s="9">
        <f t="shared" si="23"/>
        <v>0</v>
      </c>
      <c r="AI105" s="9">
        <f t="shared" si="23"/>
        <v>0</v>
      </c>
      <c r="AJ105" s="9">
        <f t="shared" si="23"/>
        <v>0</v>
      </c>
      <c r="AK105" s="9">
        <f t="shared" si="23"/>
        <v>0</v>
      </c>
      <c r="AL105" s="9">
        <f t="shared" si="23"/>
        <v>0</v>
      </c>
      <c r="AM105" s="9">
        <f t="shared" si="23"/>
        <v>0</v>
      </c>
      <c r="AN105" s="9">
        <f t="shared" si="23"/>
        <v>0</v>
      </c>
      <c r="AO105" s="9">
        <f t="shared" si="23"/>
        <v>0</v>
      </c>
      <c r="AP105" s="9">
        <f t="shared" si="23"/>
        <v>0</v>
      </c>
      <c r="AQ105" s="9">
        <f t="shared" si="23"/>
        <v>0</v>
      </c>
      <c r="AR105" s="9">
        <f t="shared" si="23"/>
        <v>0</v>
      </c>
      <c r="AS105" s="9">
        <f t="shared" si="23"/>
        <v>0</v>
      </c>
      <c r="AT105" s="9">
        <f t="shared" si="23"/>
        <v>0</v>
      </c>
      <c r="AU105" s="9">
        <f t="shared" si="23"/>
        <v>0</v>
      </c>
      <c r="AV105" s="9">
        <f t="shared" si="23"/>
        <v>0</v>
      </c>
      <c r="AW105" s="9">
        <f t="shared" si="23"/>
        <v>0</v>
      </c>
      <c r="AX105" s="9">
        <f t="shared" si="23"/>
        <v>0</v>
      </c>
      <c r="AY105" s="9">
        <f t="shared" si="23"/>
        <v>0</v>
      </c>
    </row>
    <row r="106" spans="1:51" x14ac:dyDescent="0.25">
      <c r="A106" s="4" t="s">
        <v>83</v>
      </c>
      <c r="B106" s="9">
        <f>SUM(D106:AY106)</f>
        <v>0</v>
      </c>
      <c r="D106" s="9">
        <f t="shared" ref="D106:AY106" si="24">D105*$B$20</f>
        <v>0</v>
      </c>
      <c r="E106" s="9">
        <f t="shared" si="24"/>
        <v>0</v>
      </c>
      <c r="F106" s="9">
        <f t="shared" si="24"/>
        <v>0</v>
      </c>
      <c r="G106" s="9">
        <f t="shared" si="24"/>
        <v>0</v>
      </c>
      <c r="H106" s="9">
        <f t="shared" si="24"/>
        <v>0</v>
      </c>
      <c r="I106" s="9">
        <f t="shared" si="24"/>
        <v>0</v>
      </c>
      <c r="J106" s="9">
        <f t="shared" si="24"/>
        <v>0</v>
      </c>
      <c r="K106" s="9">
        <f t="shared" si="24"/>
        <v>0</v>
      </c>
      <c r="L106" s="9">
        <f t="shared" si="24"/>
        <v>0</v>
      </c>
      <c r="M106" s="9">
        <f t="shared" si="24"/>
        <v>0</v>
      </c>
      <c r="N106" s="9">
        <f t="shared" si="24"/>
        <v>0</v>
      </c>
      <c r="O106" s="9">
        <f t="shared" si="24"/>
        <v>0</v>
      </c>
      <c r="P106" s="9">
        <f t="shared" si="24"/>
        <v>0</v>
      </c>
      <c r="Q106" s="9">
        <f t="shared" si="24"/>
        <v>0</v>
      </c>
      <c r="R106" s="9">
        <f t="shared" si="24"/>
        <v>0</v>
      </c>
      <c r="S106" s="9">
        <f t="shared" si="24"/>
        <v>0</v>
      </c>
      <c r="T106" s="9">
        <f t="shared" si="24"/>
        <v>0</v>
      </c>
      <c r="U106" s="9">
        <f t="shared" si="24"/>
        <v>0</v>
      </c>
      <c r="V106" s="9">
        <f t="shared" si="24"/>
        <v>0</v>
      </c>
      <c r="W106" s="9">
        <f t="shared" si="24"/>
        <v>0</v>
      </c>
      <c r="X106" s="9">
        <f t="shared" si="24"/>
        <v>0</v>
      </c>
      <c r="Y106" s="9">
        <f t="shared" si="24"/>
        <v>0</v>
      </c>
      <c r="Z106" s="9">
        <f t="shared" si="24"/>
        <v>0</v>
      </c>
      <c r="AA106" s="9">
        <f t="shared" si="24"/>
        <v>0</v>
      </c>
      <c r="AB106" s="9">
        <f t="shared" si="24"/>
        <v>0</v>
      </c>
      <c r="AC106" s="9">
        <f t="shared" si="24"/>
        <v>0</v>
      </c>
      <c r="AD106" s="9">
        <f t="shared" si="24"/>
        <v>0</v>
      </c>
      <c r="AE106" s="9">
        <f t="shared" si="24"/>
        <v>0</v>
      </c>
      <c r="AF106" s="9">
        <f t="shared" si="24"/>
        <v>0</v>
      </c>
      <c r="AG106" s="9">
        <f t="shared" si="24"/>
        <v>0</v>
      </c>
      <c r="AH106" s="9">
        <f t="shared" si="24"/>
        <v>0</v>
      </c>
      <c r="AI106" s="9">
        <f t="shared" si="24"/>
        <v>0</v>
      </c>
      <c r="AJ106" s="9">
        <f t="shared" si="24"/>
        <v>0</v>
      </c>
      <c r="AK106" s="9">
        <f t="shared" si="24"/>
        <v>0</v>
      </c>
      <c r="AL106" s="9">
        <f t="shared" si="24"/>
        <v>0</v>
      </c>
      <c r="AM106" s="9">
        <f t="shared" si="24"/>
        <v>0</v>
      </c>
      <c r="AN106" s="9">
        <f t="shared" si="24"/>
        <v>0</v>
      </c>
      <c r="AO106" s="9">
        <f t="shared" si="24"/>
        <v>0</v>
      </c>
      <c r="AP106" s="9">
        <f t="shared" si="24"/>
        <v>0</v>
      </c>
      <c r="AQ106" s="9">
        <f t="shared" si="24"/>
        <v>0</v>
      </c>
      <c r="AR106" s="9">
        <f t="shared" si="24"/>
        <v>0</v>
      </c>
      <c r="AS106" s="9">
        <f t="shared" si="24"/>
        <v>0</v>
      </c>
      <c r="AT106" s="9">
        <f t="shared" si="24"/>
        <v>0</v>
      </c>
      <c r="AU106" s="9">
        <f t="shared" si="24"/>
        <v>0</v>
      </c>
      <c r="AV106" s="9">
        <f t="shared" si="24"/>
        <v>0</v>
      </c>
      <c r="AW106" s="9">
        <f t="shared" si="24"/>
        <v>0</v>
      </c>
      <c r="AX106" s="9">
        <f t="shared" si="24"/>
        <v>0</v>
      </c>
      <c r="AY106" s="9">
        <f t="shared" si="24"/>
        <v>0</v>
      </c>
    </row>
    <row r="107" spans="1:51" ht="13" x14ac:dyDescent="0.3">
      <c r="A107" s="12" t="s">
        <v>342</v>
      </c>
      <c r="B107" s="13">
        <f>SUM(D107:AY107)</f>
        <v>-22611.51540701557</v>
      </c>
      <c r="D107" s="13">
        <f t="shared" ref="D107:AY107" si="25">D103+D105-D106+MIN(D98,0)-D81</f>
        <v>-4057374.6962962961</v>
      </c>
      <c r="E107" s="13">
        <f t="shared" si="25"/>
        <v>-57374.696296296308</v>
      </c>
      <c r="F107" s="13">
        <f t="shared" si="25"/>
        <v>-57374.696296296308</v>
      </c>
      <c r="G107" s="13">
        <f t="shared" si="25"/>
        <v>-57374.696296296308</v>
      </c>
      <c r="H107" s="13">
        <f t="shared" si="25"/>
        <v>-57374.696296296308</v>
      </c>
      <c r="I107" s="13">
        <f t="shared" si="25"/>
        <v>-57374.696296296308</v>
      </c>
      <c r="J107" s="13">
        <f t="shared" si="25"/>
        <v>-57374.696296296308</v>
      </c>
      <c r="K107" s="13">
        <f t="shared" si="25"/>
        <v>-1.862645149230957E-9</v>
      </c>
      <c r="L107" s="13">
        <f t="shared" si="25"/>
        <v>0</v>
      </c>
      <c r="M107" s="13">
        <f t="shared" si="25"/>
        <v>0</v>
      </c>
      <c r="N107" s="13">
        <f t="shared" si="25"/>
        <v>0</v>
      </c>
      <c r="O107" s="13">
        <f t="shared" si="25"/>
        <v>0</v>
      </c>
      <c r="P107" s="13">
        <f t="shared" si="25"/>
        <v>0</v>
      </c>
      <c r="Q107" s="13">
        <f t="shared" si="25"/>
        <v>0</v>
      </c>
      <c r="R107" s="13">
        <f t="shared" si="25"/>
        <v>0</v>
      </c>
      <c r="S107" s="13">
        <f t="shared" si="25"/>
        <v>0</v>
      </c>
      <c r="T107" s="13">
        <f t="shared" si="25"/>
        <v>0</v>
      </c>
      <c r="U107" s="13">
        <f t="shared" si="25"/>
        <v>0</v>
      </c>
      <c r="V107" s="13">
        <f t="shared" si="25"/>
        <v>0</v>
      </c>
      <c r="W107" s="13">
        <f t="shared" si="25"/>
        <v>0</v>
      </c>
      <c r="X107" s="13">
        <f t="shared" si="25"/>
        <v>0</v>
      </c>
      <c r="Y107" s="13">
        <f t="shared" si="25"/>
        <v>0</v>
      </c>
      <c r="Z107" s="13">
        <f t="shared" si="25"/>
        <v>0</v>
      </c>
      <c r="AA107" s="13">
        <f t="shared" si="25"/>
        <v>0</v>
      </c>
      <c r="AB107" s="13">
        <f t="shared" si="25"/>
        <v>0</v>
      </c>
      <c r="AC107" s="13">
        <f t="shared" si="25"/>
        <v>0</v>
      </c>
      <c r="AD107" s="13">
        <f t="shared" si="25"/>
        <v>0</v>
      </c>
      <c r="AE107" s="13">
        <f t="shared" si="25"/>
        <v>4475676.8586670589</v>
      </c>
      <c r="AF107" s="13">
        <f t="shared" si="25"/>
        <v>0</v>
      </c>
      <c r="AG107" s="13">
        <f t="shared" si="25"/>
        <v>0</v>
      </c>
      <c r="AH107" s="13">
        <f t="shared" si="25"/>
        <v>0</v>
      </c>
      <c r="AI107" s="13">
        <f t="shared" si="25"/>
        <v>0</v>
      </c>
      <c r="AJ107" s="13">
        <f t="shared" si="25"/>
        <v>-96665.5</v>
      </c>
      <c r="AK107" s="13">
        <f t="shared" si="25"/>
        <v>0</v>
      </c>
      <c r="AL107" s="13">
        <f t="shared" si="25"/>
        <v>0</v>
      </c>
      <c r="AM107" s="13">
        <f t="shared" si="25"/>
        <v>0</v>
      </c>
      <c r="AN107" s="13">
        <f t="shared" si="25"/>
        <v>0</v>
      </c>
      <c r="AO107" s="13">
        <f t="shared" si="25"/>
        <v>0</v>
      </c>
      <c r="AP107" s="13">
        <f t="shared" si="25"/>
        <v>0</v>
      </c>
      <c r="AQ107" s="13">
        <f t="shared" si="25"/>
        <v>0</v>
      </c>
      <c r="AR107" s="13">
        <f t="shared" si="25"/>
        <v>0</v>
      </c>
      <c r="AS107" s="13">
        <f t="shared" si="25"/>
        <v>0</v>
      </c>
      <c r="AT107" s="13">
        <f t="shared" si="25"/>
        <v>0</v>
      </c>
      <c r="AU107" s="13">
        <f t="shared" si="25"/>
        <v>0</v>
      </c>
      <c r="AV107" s="13">
        <f t="shared" si="25"/>
        <v>0</v>
      </c>
      <c r="AW107" s="13">
        <f t="shared" si="25"/>
        <v>0</v>
      </c>
      <c r="AX107" s="13">
        <f t="shared" si="25"/>
        <v>0</v>
      </c>
      <c r="AY107" s="13">
        <f t="shared" si="25"/>
        <v>0</v>
      </c>
    </row>
    <row r="108" spans="1:51" x14ac:dyDescent="0.25">
      <c r="A108" s="4" t="s">
        <v>343</v>
      </c>
      <c r="B108" s="9">
        <f>SUM(D108:AY108)</f>
        <v>-20350.363866314568</v>
      </c>
      <c r="D108" s="9">
        <f t="shared" ref="D108:AY108" si="26">D107*(1-$B$21)</f>
        <v>-3651637.2266666666</v>
      </c>
      <c r="E108" s="9">
        <f t="shared" si="26"/>
        <v>-51637.226666666676</v>
      </c>
      <c r="F108" s="9">
        <f t="shared" si="26"/>
        <v>-51637.226666666676</v>
      </c>
      <c r="G108" s="9">
        <f t="shared" si="26"/>
        <v>-51637.226666666676</v>
      </c>
      <c r="H108" s="9">
        <f t="shared" si="26"/>
        <v>-51637.226666666676</v>
      </c>
      <c r="I108" s="9">
        <f t="shared" si="26"/>
        <v>-51637.226666666676</v>
      </c>
      <c r="J108" s="9">
        <f t="shared" si="26"/>
        <v>-51637.226666666676</v>
      </c>
      <c r="K108" s="9">
        <f t="shared" si="26"/>
        <v>-1.6763806343078614E-9</v>
      </c>
      <c r="L108" s="9">
        <f t="shared" si="26"/>
        <v>0</v>
      </c>
      <c r="M108" s="9">
        <f t="shared" si="26"/>
        <v>0</v>
      </c>
      <c r="N108" s="9">
        <f t="shared" si="26"/>
        <v>0</v>
      </c>
      <c r="O108" s="9">
        <f t="shared" si="26"/>
        <v>0</v>
      </c>
      <c r="P108" s="9">
        <f t="shared" si="26"/>
        <v>0</v>
      </c>
      <c r="Q108" s="9">
        <f t="shared" si="26"/>
        <v>0</v>
      </c>
      <c r="R108" s="9">
        <f t="shared" si="26"/>
        <v>0</v>
      </c>
      <c r="S108" s="9">
        <f t="shared" si="26"/>
        <v>0</v>
      </c>
      <c r="T108" s="9">
        <f t="shared" si="26"/>
        <v>0</v>
      </c>
      <c r="U108" s="9">
        <f t="shared" si="26"/>
        <v>0</v>
      </c>
      <c r="V108" s="9">
        <f t="shared" si="26"/>
        <v>0</v>
      </c>
      <c r="W108" s="9">
        <f t="shared" si="26"/>
        <v>0</v>
      </c>
      <c r="X108" s="9">
        <f t="shared" si="26"/>
        <v>0</v>
      </c>
      <c r="Y108" s="9">
        <f t="shared" si="26"/>
        <v>0</v>
      </c>
      <c r="Z108" s="9">
        <f t="shared" si="26"/>
        <v>0</v>
      </c>
      <c r="AA108" s="9">
        <f t="shared" si="26"/>
        <v>0</v>
      </c>
      <c r="AB108" s="9">
        <f t="shared" si="26"/>
        <v>0</v>
      </c>
      <c r="AC108" s="9">
        <f t="shared" si="26"/>
        <v>0</v>
      </c>
      <c r="AD108" s="9">
        <f t="shared" si="26"/>
        <v>0</v>
      </c>
      <c r="AE108" s="9">
        <f t="shared" si="26"/>
        <v>4028109.1728003533</v>
      </c>
      <c r="AF108" s="9">
        <f t="shared" si="26"/>
        <v>0</v>
      </c>
      <c r="AG108" s="9">
        <f t="shared" si="26"/>
        <v>0</v>
      </c>
      <c r="AH108" s="9">
        <f t="shared" si="26"/>
        <v>0</v>
      </c>
      <c r="AI108" s="9">
        <f t="shared" si="26"/>
        <v>0</v>
      </c>
      <c r="AJ108" s="9">
        <f t="shared" si="26"/>
        <v>-86998.95</v>
      </c>
      <c r="AK108" s="9">
        <f t="shared" si="26"/>
        <v>0</v>
      </c>
      <c r="AL108" s="9">
        <f t="shared" si="26"/>
        <v>0</v>
      </c>
      <c r="AM108" s="9">
        <f t="shared" si="26"/>
        <v>0</v>
      </c>
      <c r="AN108" s="9">
        <f t="shared" si="26"/>
        <v>0</v>
      </c>
      <c r="AO108" s="9">
        <f t="shared" si="26"/>
        <v>0</v>
      </c>
      <c r="AP108" s="9">
        <f t="shared" si="26"/>
        <v>0</v>
      </c>
      <c r="AQ108" s="9">
        <f t="shared" si="26"/>
        <v>0</v>
      </c>
      <c r="AR108" s="9">
        <f t="shared" si="26"/>
        <v>0</v>
      </c>
      <c r="AS108" s="9">
        <f t="shared" si="26"/>
        <v>0</v>
      </c>
      <c r="AT108" s="9">
        <f t="shared" si="26"/>
        <v>0</v>
      </c>
      <c r="AU108" s="9">
        <f t="shared" si="26"/>
        <v>0</v>
      </c>
      <c r="AV108" s="9">
        <f t="shared" si="26"/>
        <v>0</v>
      </c>
      <c r="AW108" s="9">
        <f t="shared" si="26"/>
        <v>0</v>
      </c>
      <c r="AX108" s="9">
        <f t="shared" si="26"/>
        <v>0</v>
      </c>
      <c r="AY108" s="9">
        <f t="shared" si="26"/>
        <v>0</v>
      </c>
    </row>
    <row r="109" spans="1:51" x14ac:dyDescent="0.25">
      <c r="A109" s="4" t="s">
        <v>344</v>
      </c>
      <c r="B109" s="9">
        <f>SUM(D109:AY109)</f>
        <v>-2261.1515407016977</v>
      </c>
      <c r="D109" s="9">
        <f t="shared" ref="D109:AY109" si="27">D107*$B$21+D106</f>
        <v>-405737.46962962963</v>
      </c>
      <c r="E109" s="9">
        <f t="shared" si="27"/>
        <v>-5737.4696296296315</v>
      </c>
      <c r="F109" s="9">
        <f t="shared" si="27"/>
        <v>-5737.4696296296315</v>
      </c>
      <c r="G109" s="9">
        <f t="shared" si="27"/>
        <v>-5737.4696296296315</v>
      </c>
      <c r="H109" s="9">
        <f t="shared" si="27"/>
        <v>-5737.4696296296315</v>
      </c>
      <c r="I109" s="9">
        <f t="shared" si="27"/>
        <v>-5737.4696296296315</v>
      </c>
      <c r="J109" s="9">
        <f t="shared" si="27"/>
        <v>-5737.4696296296315</v>
      </c>
      <c r="K109" s="9">
        <f t="shared" si="27"/>
        <v>-1.8626451492309571E-10</v>
      </c>
      <c r="L109" s="9">
        <f t="shared" si="27"/>
        <v>0</v>
      </c>
      <c r="M109" s="9">
        <f t="shared" si="27"/>
        <v>0</v>
      </c>
      <c r="N109" s="9">
        <f t="shared" si="27"/>
        <v>0</v>
      </c>
      <c r="O109" s="9">
        <f t="shared" si="27"/>
        <v>0</v>
      </c>
      <c r="P109" s="9">
        <f t="shared" si="27"/>
        <v>0</v>
      </c>
      <c r="Q109" s="9">
        <f t="shared" si="27"/>
        <v>0</v>
      </c>
      <c r="R109" s="9">
        <f t="shared" si="27"/>
        <v>0</v>
      </c>
      <c r="S109" s="9">
        <f t="shared" si="27"/>
        <v>0</v>
      </c>
      <c r="T109" s="9">
        <f t="shared" si="27"/>
        <v>0</v>
      </c>
      <c r="U109" s="9">
        <f t="shared" si="27"/>
        <v>0</v>
      </c>
      <c r="V109" s="9">
        <f t="shared" si="27"/>
        <v>0</v>
      </c>
      <c r="W109" s="9">
        <f t="shared" si="27"/>
        <v>0</v>
      </c>
      <c r="X109" s="9">
        <f t="shared" si="27"/>
        <v>0</v>
      </c>
      <c r="Y109" s="9">
        <f t="shared" si="27"/>
        <v>0</v>
      </c>
      <c r="Z109" s="9">
        <f t="shared" si="27"/>
        <v>0</v>
      </c>
      <c r="AA109" s="9">
        <f t="shared" si="27"/>
        <v>0</v>
      </c>
      <c r="AB109" s="9">
        <f t="shared" si="27"/>
        <v>0</v>
      </c>
      <c r="AC109" s="9">
        <f t="shared" si="27"/>
        <v>0</v>
      </c>
      <c r="AD109" s="9">
        <f t="shared" si="27"/>
        <v>0</v>
      </c>
      <c r="AE109" s="9">
        <f t="shared" si="27"/>
        <v>447567.6858667059</v>
      </c>
      <c r="AF109" s="9">
        <f t="shared" si="27"/>
        <v>0</v>
      </c>
      <c r="AG109" s="9">
        <f t="shared" si="27"/>
        <v>0</v>
      </c>
      <c r="AH109" s="9">
        <f t="shared" si="27"/>
        <v>0</v>
      </c>
      <c r="AI109" s="9">
        <f t="shared" si="27"/>
        <v>0</v>
      </c>
      <c r="AJ109" s="9">
        <f t="shared" si="27"/>
        <v>-9666.5500000000011</v>
      </c>
      <c r="AK109" s="9">
        <f t="shared" si="27"/>
        <v>0</v>
      </c>
      <c r="AL109" s="9">
        <f t="shared" si="27"/>
        <v>0</v>
      </c>
      <c r="AM109" s="9">
        <f t="shared" si="27"/>
        <v>0</v>
      </c>
      <c r="AN109" s="9">
        <f t="shared" si="27"/>
        <v>0</v>
      </c>
      <c r="AO109" s="9">
        <f t="shared" si="27"/>
        <v>0</v>
      </c>
      <c r="AP109" s="9">
        <f t="shared" si="27"/>
        <v>0</v>
      </c>
      <c r="AQ109" s="9">
        <f t="shared" si="27"/>
        <v>0</v>
      </c>
      <c r="AR109" s="9">
        <f t="shared" si="27"/>
        <v>0</v>
      </c>
      <c r="AS109" s="9">
        <f t="shared" si="27"/>
        <v>0</v>
      </c>
      <c r="AT109" s="9">
        <f t="shared" si="27"/>
        <v>0</v>
      </c>
      <c r="AU109" s="9">
        <f t="shared" si="27"/>
        <v>0</v>
      </c>
      <c r="AV109" s="9">
        <f t="shared" si="27"/>
        <v>0</v>
      </c>
      <c r="AW109" s="9">
        <f t="shared" si="27"/>
        <v>0</v>
      </c>
      <c r="AX109" s="9">
        <f t="shared" si="27"/>
        <v>0</v>
      </c>
      <c r="AY109" s="9">
        <f t="shared" si="27"/>
        <v>0</v>
      </c>
    </row>
    <row r="111" spans="1:51" ht="13" x14ac:dyDescent="0.3">
      <c r="A111" s="18" t="s">
        <v>345</v>
      </c>
    </row>
    <row r="112" spans="1:51" ht="13" x14ac:dyDescent="0.3">
      <c r="A112" s="12" t="s">
        <v>346</v>
      </c>
      <c r="B112" s="13">
        <f>SUM(D112:AY112)</f>
        <v>931032.23300000094</v>
      </c>
      <c r="D112" s="13">
        <f t="shared" ref="D112:AY112" si="28">D90-D71-D72-D73-D74</f>
        <v>-4057374.6962962961</v>
      </c>
      <c r="E112" s="13">
        <f t="shared" si="28"/>
        <v>-57374.696296296308</v>
      </c>
      <c r="F112" s="13">
        <f t="shared" si="28"/>
        <v>-57374.696296296308</v>
      </c>
      <c r="G112" s="13">
        <f t="shared" si="28"/>
        <v>-57374.696296296308</v>
      </c>
      <c r="H112" s="13">
        <f t="shared" si="28"/>
        <v>-57374.696296296308</v>
      </c>
      <c r="I112" s="13">
        <f t="shared" si="28"/>
        <v>-57374.696296296308</v>
      </c>
      <c r="J112" s="13">
        <f t="shared" si="28"/>
        <v>-57374.696296296308</v>
      </c>
      <c r="K112" s="13">
        <f t="shared" si="28"/>
        <v>-87070.605387205404</v>
      </c>
      <c r="L112" s="13">
        <f t="shared" si="28"/>
        <v>-213447.37512577476</v>
      </c>
      <c r="M112" s="13">
        <f t="shared" si="28"/>
        <v>-213447.37512577476</v>
      </c>
      <c r="N112" s="13">
        <f t="shared" si="28"/>
        <v>-248626.62597906872</v>
      </c>
      <c r="O112" s="13">
        <f t="shared" si="28"/>
        <v>-150840.35108113629</v>
      </c>
      <c r="P112" s="13">
        <f t="shared" si="28"/>
        <v>-257487.12676596132</v>
      </c>
      <c r="Q112" s="13">
        <f t="shared" si="28"/>
        <v>-227976.14395296789</v>
      </c>
      <c r="R112" s="13">
        <f t="shared" si="28"/>
        <v>-305515.14394015638</v>
      </c>
      <c r="S112" s="13">
        <f t="shared" si="28"/>
        <v>-377049.51712421328</v>
      </c>
      <c r="T112" s="13">
        <f t="shared" si="28"/>
        <v>-433195.82295686076</v>
      </c>
      <c r="U112" s="13">
        <f t="shared" si="28"/>
        <v>-499641.90473282372</v>
      </c>
      <c r="V112" s="13">
        <f t="shared" si="28"/>
        <v>-506585.33708519518</v>
      </c>
      <c r="W112" s="13">
        <f t="shared" si="28"/>
        <v>-531306.14893678075</v>
      </c>
      <c r="X112" s="13">
        <f t="shared" si="28"/>
        <v>-421839.36613699817</v>
      </c>
      <c r="Y112" s="13">
        <f t="shared" si="28"/>
        <v>-491395.0362285985</v>
      </c>
      <c r="Z112" s="13">
        <f t="shared" si="28"/>
        <v>-562369.76310690597</v>
      </c>
      <c r="AA112" s="13">
        <f t="shared" si="28"/>
        <v>-714810.21899237169</v>
      </c>
      <c r="AB112" s="13">
        <f t="shared" si="28"/>
        <v>-701712.29803233664</v>
      </c>
      <c r="AC112" s="13">
        <f t="shared" si="28"/>
        <v>-565181.48804016737</v>
      </c>
      <c r="AD112" s="13">
        <f t="shared" si="28"/>
        <v>-171096.27719462797</v>
      </c>
      <c r="AE112" s="13">
        <f t="shared" si="28"/>
        <v>13109914.533</v>
      </c>
      <c r="AF112" s="13">
        <f t="shared" si="28"/>
        <v>0</v>
      </c>
      <c r="AG112" s="13">
        <f t="shared" si="28"/>
        <v>0</v>
      </c>
      <c r="AH112" s="13">
        <f t="shared" si="28"/>
        <v>0</v>
      </c>
      <c r="AI112" s="13">
        <f t="shared" si="28"/>
        <v>0</v>
      </c>
      <c r="AJ112" s="13">
        <f t="shared" si="28"/>
        <v>-96665.5</v>
      </c>
      <c r="AK112" s="13">
        <f t="shared" si="28"/>
        <v>0</v>
      </c>
      <c r="AL112" s="13">
        <f t="shared" si="28"/>
        <v>0</v>
      </c>
      <c r="AM112" s="13">
        <f t="shared" si="28"/>
        <v>0</v>
      </c>
      <c r="AN112" s="13">
        <f t="shared" si="28"/>
        <v>0</v>
      </c>
      <c r="AO112" s="13">
        <f t="shared" si="28"/>
        <v>0</v>
      </c>
      <c r="AP112" s="13">
        <f t="shared" si="28"/>
        <v>0</v>
      </c>
      <c r="AQ112" s="13">
        <f t="shared" si="28"/>
        <v>0</v>
      </c>
      <c r="AR112" s="13">
        <f t="shared" si="28"/>
        <v>0</v>
      </c>
      <c r="AS112" s="13">
        <f t="shared" si="28"/>
        <v>0</v>
      </c>
      <c r="AT112" s="13">
        <f t="shared" si="28"/>
        <v>0</v>
      </c>
      <c r="AU112" s="13">
        <f t="shared" si="28"/>
        <v>0</v>
      </c>
      <c r="AV112" s="13">
        <f t="shared" si="28"/>
        <v>0</v>
      </c>
      <c r="AW112" s="13">
        <f t="shared" si="28"/>
        <v>0</v>
      </c>
      <c r="AX112" s="13">
        <f t="shared" si="28"/>
        <v>0</v>
      </c>
      <c r="AY112" s="13">
        <f t="shared" si="28"/>
        <v>0</v>
      </c>
    </row>
  </sheetData>
  <pageMargins left="0.5" right="0.5" top="0.6" bottom="0.6" header="0.3" footer="0.3"/>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pageSetUpPr fitToPage="1"/>
  </sheetPr>
  <dimension ref="A1:BG96"/>
  <sheetViews>
    <sheetView showGridLines="0" workbookViewId="0">
      <pane ySplit="14" topLeftCell="A15" activePane="bottomLeft" state="frozen"/>
      <selection pane="bottomLeft"/>
    </sheetView>
  </sheetViews>
  <sheetFormatPr defaultRowHeight="12.5" outlineLevelRow="1" x14ac:dyDescent="0.25"/>
  <cols>
    <col min="1" max="1" width="46" customWidth="1"/>
    <col min="2" max="2" width="12" customWidth="1"/>
    <col min="3" max="4" width="7" customWidth="1"/>
    <col min="5" max="5" width="3" customWidth="1"/>
    <col min="6" max="59" width="6.1796875" customWidth="1"/>
  </cols>
  <sheetData>
    <row r="1" spans="1:59" ht="18" x14ac:dyDescent="0.4">
      <c r="A1" s="1" t="s">
        <v>347</v>
      </c>
    </row>
    <row r="2" spans="1:59" ht="13" x14ac:dyDescent="0.3">
      <c r="A2" s="2" t="s">
        <v>348</v>
      </c>
    </row>
    <row r="3" spans="1:59" ht="13" x14ac:dyDescent="0.3">
      <c r="A3" s="2" t="s">
        <v>349</v>
      </c>
    </row>
    <row r="5" spans="1:59" ht="13" x14ac:dyDescent="0.3">
      <c r="A5" s="18" t="s">
        <v>350</v>
      </c>
    </row>
    <row r="6" spans="1:59" ht="13" outlineLevel="1" x14ac:dyDescent="0.3">
      <c r="A6" s="4" t="s">
        <v>351</v>
      </c>
      <c r="B6" s="39">
        <v>46478</v>
      </c>
      <c r="F6" s="2" t="s">
        <v>352</v>
      </c>
    </row>
    <row r="7" spans="1:59" ht="13" outlineLevel="1" x14ac:dyDescent="0.3">
      <c r="A7" s="4" t="s">
        <v>353</v>
      </c>
      <c r="B7" s="28">
        <f>Finance!$B$6</f>
        <v>6</v>
      </c>
      <c r="C7" s="4" t="s">
        <v>239</v>
      </c>
      <c r="F7" s="2" t="s">
        <v>354</v>
      </c>
    </row>
    <row r="8" spans="1:59" ht="13" outlineLevel="1" x14ac:dyDescent="0.3">
      <c r="A8" s="4" t="s">
        <v>355</v>
      </c>
      <c r="B8" s="28">
        <f>Finance!$B$7</f>
        <v>20</v>
      </c>
      <c r="C8" s="4" t="s">
        <v>239</v>
      </c>
      <c r="F8" s="2" t="s">
        <v>356</v>
      </c>
    </row>
    <row r="9" spans="1:59" outlineLevel="1" x14ac:dyDescent="0.25">
      <c r="A9" s="4" t="s">
        <v>357</v>
      </c>
      <c r="B9" s="28">
        <f>Finance!$B$8</f>
        <v>6</v>
      </c>
      <c r="C9" s="4" t="s">
        <v>239</v>
      </c>
    </row>
    <row r="10" spans="1:59" ht="25" outlineLevel="1" x14ac:dyDescent="0.3">
      <c r="A10" s="4" t="s">
        <v>358</v>
      </c>
      <c r="B10" s="6">
        <v>12</v>
      </c>
      <c r="C10" s="4" t="s">
        <v>359</v>
      </c>
      <c r="F10" s="2" t="s">
        <v>360</v>
      </c>
    </row>
    <row r="12" spans="1:59" ht="13" x14ac:dyDescent="0.3">
      <c r="A12" s="3" t="s">
        <v>361</v>
      </c>
      <c r="B12" s="3"/>
      <c r="C12" s="3"/>
      <c r="D12" s="3"/>
      <c r="E12" s="3"/>
      <c r="F12" s="29">
        <v>-6</v>
      </c>
      <c r="G12" s="29">
        <v>-5</v>
      </c>
      <c r="H12" s="29">
        <v>-4</v>
      </c>
      <c r="I12" s="29">
        <v>-3</v>
      </c>
      <c r="J12" s="29">
        <v>-2</v>
      </c>
      <c r="K12" s="29">
        <v>-1</v>
      </c>
      <c r="L12" s="29">
        <v>0</v>
      </c>
      <c r="M12" s="29">
        <v>1</v>
      </c>
      <c r="N12" s="29">
        <v>2</v>
      </c>
      <c r="O12" s="29">
        <v>3</v>
      </c>
      <c r="P12" s="29">
        <v>4</v>
      </c>
      <c r="Q12" s="29">
        <v>5</v>
      </c>
      <c r="R12" s="29">
        <v>6</v>
      </c>
      <c r="S12" s="29">
        <v>7</v>
      </c>
      <c r="T12" s="29">
        <v>8</v>
      </c>
      <c r="U12" s="29">
        <v>9</v>
      </c>
      <c r="V12" s="29">
        <v>10</v>
      </c>
      <c r="W12" s="29">
        <v>11</v>
      </c>
      <c r="X12" s="29">
        <v>12</v>
      </c>
      <c r="Y12" s="29">
        <v>13</v>
      </c>
      <c r="Z12" s="29">
        <v>14</v>
      </c>
      <c r="AA12" s="29">
        <v>15</v>
      </c>
      <c r="AB12" s="29">
        <v>16</v>
      </c>
      <c r="AC12" s="29">
        <v>17</v>
      </c>
      <c r="AD12" s="29">
        <v>18</v>
      </c>
      <c r="AE12" s="29">
        <v>19</v>
      </c>
      <c r="AF12" s="29">
        <v>20</v>
      </c>
      <c r="AG12" s="29">
        <v>21</v>
      </c>
      <c r="AH12" s="29">
        <v>22</v>
      </c>
      <c r="AI12" s="29">
        <v>23</v>
      </c>
      <c r="AJ12" s="29">
        <v>24</v>
      </c>
      <c r="AK12" s="29">
        <v>25</v>
      </c>
      <c r="AL12" s="29">
        <v>26</v>
      </c>
      <c r="AM12" s="29">
        <v>27</v>
      </c>
      <c r="AN12" s="29">
        <v>28</v>
      </c>
      <c r="AO12" s="29">
        <v>29</v>
      </c>
      <c r="AP12" s="29">
        <v>30</v>
      </c>
      <c r="AQ12" s="29">
        <v>31</v>
      </c>
      <c r="AR12" s="29">
        <v>32</v>
      </c>
      <c r="AS12" s="29">
        <v>33</v>
      </c>
      <c r="AT12" s="29">
        <v>34</v>
      </c>
      <c r="AU12" s="29">
        <v>35</v>
      </c>
      <c r="AV12" s="29">
        <v>36</v>
      </c>
      <c r="AW12" s="29">
        <v>37</v>
      </c>
      <c r="AX12" s="29">
        <v>38</v>
      </c>
      <c r="AY12" s="29">
        <v>39</v>
      </c>
      <c r="AZ12" s="29">
        <v>40</v>
      </c>
      <c r="BA12" s="29">
        <v>41</v>
      </c>
      <c r="BB12" s="29">
        <v>42</v>
      </c>
      <c r="BC12" s="29">
        <v>43</v>
      </c>
      <c r="BD12" s="29">
        <v>44</v>
      </c>
      <c r="BE12" s="29">
        <v>45</v>
      </c>
      <c r="BF12" s="29">
        <v>46</v>
      </c>
      <c r="BG12" s="29">
        <v>47</v>
      </c>
    </row>
    <row r="13" spans="1:59" ht="40" customHeight="1" x14ac:dyDescent="0.25">
      <c r="A13" s="3" t="s">
        <v>313</v>
      </c>
      <c r="B13" s="3" t="s">
        <v>362</v>
      </c>
      <c r="C13" s="3" t="s">
        <v>363</v>
      </c>
      <c r="D13" s="3" t="s">
        <v>364</v>
      </c>
      <c r="E13" s="3"/>
      <c r="F13" s="37">
        <f t="shared" ref="F13:AK13" si="0">DATE(YEAR($B$6),MONTH($B$6)+F$12,1)</f>
        <v>46296</v>
      </c>
      <c r="G13" s="37">
        <f t="shared" si="0"/>
        <v>46327</v>
      </c>
      <c r="H13" s="37">
        <f t="shared" si="0"/>
        <v>46357</v>
      </c>
      <c r="I13" s="37">
        <f t="shared" si="0"/>
        <v>46388</v>
      </c>
      <c r="J13" s="37">
        <f t="shared" si="0"/>
        <v>46419</v>
      </c>
      <c r="K13" s="37">
        <f t="shared" si="0"/>
        <v>46447</v>
      </c>
      <c r="L13" s="37">
        <f t="shared" si="0"/>
        <v>46478</v>
      </c>
      <c r="M13" s="37">
        <f t="shared" si="0"/>
        <v>46508</v>
      </c>
      <c r="N13" s="37">
        <f t="shared" si="0"/>
        <v>46539</v>
      </c>
      <c r="O13" s="37">
        <f t="shared" si="0"/>
        <v>46569</v>
      </c>
      <c r="P13" s="37">
        <f t="shared" si="0"/>
        <v>46600</v>
      </c>
      <c r="Q13" s="37">
        <f t="shared" si="0"/>
        <v>46631</v>
      </c>
      <c r="R13" s="37">
        <f t="shared" si="0"/>
        <v>46661</v>
      </c>
      <c r="S13" s="37">
        <f t="shared" si="0"/>
        <v>46692</v>
      </c>
      <c r="T13" s="37">
        <f t="shared" si="0"/>
        <v>46722</v>
      </c>
      <c r="U13" s="37">
        <f t="shared" si="0"/>
        <v>46753</v>
      </c>
      <c r="V13" s="37">
        <f t="shared" si="0"/>
        <v>46784</v>
      </c>
      <c r="W13" s="37">
        <f t="shared" si="0"/>
        <v>46813</v>
      </c>
      <c r="X13" s="37">
        <f t="shared" si="0"/>
        <v>46844</v>
      </c>
      <c r="Y13" s="37">
        <f t="shared" si="0"/>
        <v>46874</v>
      </c>
      <c r="Z13" s="37">
        <f t="shared" si="0"/>
        <v>46905</v>
      </c>
      <c r="AA13" s="37">
        <f t="shared" si="0"/>
        <v>46935</v>
      </c>
      <c r="AB13" s="37">
        <f t="shared" si="0"/>
        <v>46966</v>
      </c>
      <c r="AC13" s="37">
        <f t="shared" si="0"/>
        <v>46997</v>
      </c>
      <c r="AD13" s="37">
        <f t="shared" si="0"/>
        <v>47027</v>
      </c>
      <c r="AE13" s="37">
        <f t="shared" si="0"/>
        <v>47058</v>
      </c>
      <c r="AF13" s="37">
        <f t="shared" si="0"/>
        <v>47088</v>
      </c>
      <c r="AG13" s="37">
        <f t="shared" si="0"/>
        <v>47119</v>
      </c>
      <c r="AH13" s="37">
        <f t="shared" si="0"/>
        <v>47150</v>
      </c>
      <c r="AI13" s="37">
        <f t="shared" si="0"/>
        <v>47178</v>
      </c>
      <c r="AJ13" s="37">
        <f t="shared" si="0"/>
        <v>47209</v>
      </c>
      <c r="AK13" s="37">
        <f t="shared" si="0"/>
        <v>47239</v>
      </c>
      <c r="AL13" s="37">
        <f t="shared" ref="AL13:BG13" si="1">DATE(YEAR($B$6),MONTH($B$6)+AL$12,1)</f>
        <v>47270</v>
      </c>
      <c r="AM13" s="37">
        <f t="shared" si="1"/>
        <v>47300</v>
      </c>
      <c r="AN13" s="37">
        <f t="shared" si="1"/>
        <v>47331</v>
      </c>
      <c r="AO13" s="37">
        <f t="shared" si="1"/>
        <v>47362</v>
      </c>
      <c r="AP13" s="37">
        <f t="shared" si="1"/>
        <v>47392</v>
      </c>
      <c r="AQ13" s="37">
        <f t="shared" si="1"/>
        <v>47423</v>
      </c>
      <c r="AR13" s="37">
        <f t="shared" si="1"/>
        <v>47453</v>
      </c>
      <c r="AS13" s="37">
        <f t="shared" si="1"/>
        <v>47484</v>
      </c>
      <c r="AT13" s="37">
        <f t="shared" si="1"/>
        <v>47515</v>
      </c>
      <c r="AU13" s="37">
        <f t="shared" si="1"/>
        <v>47543</v>
      </c>
      <c r="AV13" s="37">
        <f t="shared" si="1"/>
        <v>47574</v>
      </c>
      <c r="AW13" s="37">
        <f t="shared" si="1"/>
        <v>47604</v>
      </c>
      <c r="AX13" s="37">
        <f t="shared" si="1"/>
        <v>47635</v>
      </c>
      <c r="AY13" s="37">
        <f t="shared" si="1"/>
        <v>47665</v>
      </c>
      <c r="AZ13" s="37">
        <f t="shared" si="1"/>
        <v>47696</v>
      </c>
      <c r="BA13" s="37">
        <f t="shared" si="1"/>
        <v>47727</v>
      </c>
      <c r="BB13" s="37">
        <f t="shared" si="1"/>
        <v>47757</v>
      </c>
      <c r="BC13" s="37">
        <f t="shared" si="1"/>
        <v>47788</v>
      </c>
      <c r="BD13" s="37">
        <f t="shared" si="1"/>
        <v>47818</v>
      </c>
      <c r="BE13" s="37">
        <f t="shared" si="1"/>
        <v>47849</v>
      </c>
      <c r="BF13" s="37">
        <f t="shared" si="1"/>
        <v>47880</v>
      </c>
      <c r="BG13" s="37">
        <f t="shared" si="1"/>
        <v>47908</v>
      </c>
    </row>
    <row r="14" spans="1:59" ht="13" x14ac:dyDescent="0.3">
      <c r="A14" s="4" t="s">
        <v>314</v>
      </c>
      <c r="F14" s="30" t="str">
        <f t="shared" ref="F14:AK14" si="2">IF(F$12&lt;0,"Raise",IF(F$12=0,"Close",IF(F$12&lt;=$B$7,"Pre-dev",IF(F$12&lt;=$B$7+$B$8,"Build",IF(F$12&lt;=$B$7+$B$8+$B$9,"Sell","")))))</f>
        <v>Raise</v>
      </c>
      <c r="G14" s="30" t="str">
        <f t="shared" si="2"/>
        <v>Raise</v>
      </c>
      <c r="H14" s="30" t="str">
        <f t="shared" si="2"/>
        <v>Raise</v>
      </c>
      <c r="I14" s="30" t="str">
        <f t="shared" si="2"/>
        <v>Raise</v>
      </c>
      <c r="J14" s="30" t="str">
        <f t="shared" si="2"/>
        <v>Raise</v>
      </c>
      <c r="K14" s="30" t="str">
        <f t="shared" si="2"/>
        <v>Raise</v>
      </c>
      <c r="L14" s="30" t="str">
        <f t="shared" si="2"/>
        <v>Close</v>
      </c>
      <c r="M14" s="30" t="str">
        <f t="shared" si="2"/>
        <v>Pre-dev</v>
      </c>
      <c r="N14" s="30" t="str">
        <f t="shared" si="2"/>
        <v>Pre-dev</v>
      </c>
      <c r="O14" s="30" t="str">
        <f t="shared" si="2"/>
        <v>Pre-dev</v>
      </c>
      <c r="P14" s="30" t="str">
        <f t="shared" si="2"/>
        <v>Pre-dev</v>
      </c>
      <c r="Q14" s="30" t="str">
        <f t="shared" si="2"/>
        <v>Pre-dev</v>
      </c>
      <c r="R14" s="30" t="str">
        <f t="shared" si="2"/>
        <v>Pre-dev</v>
      </c>
      <c r="S14" s="30" t="str">
        <f t="shared" si="2"/>
        <v>Build</v>
      </c>
      <c r="T14" s="30" t="str">
        <f t="shared" si="2"/>
        <v>Build</v>
      </c>
      <c r="U14" s="30" t="str">
        <f t="shared" si="2"/>
        <v>Build</v>
      </c>
      <c r="V14" s="30" t="str">
        <f t="shared" si="2"/>
        <v>Build</v>
      </c>
      <c r="W14" s="30" t="str">
        <f t="shared" si="2"/>
        <v>Build</v>
      </c>
      <c r="X14" s="30" t="str">
        <f t="shared" si="2"/>
        <v>Build</v>
      </c>
      <c r="Y14" s="30" t="str">
        <f t="shared" si="2"/>
        <v>Build</v>
      </c>
      <c r="Z14" s="30" t="str">
        <f t="shared" si="2"/>
        <v>Build</v>
      </c>
      <c r="AA14" s="30" t="str">
        <f t="shared" si="2"/>
        <v>Build</v>
      </c>
      <c r="AB14" s="30" t="str">
        <f t="shared" si="2"/>
        <v>Build</v>
      </c>
      <c r="AC14" s="30" t="str">
        <f t="shared" si="2"/>
        <v>Build</v>
      </c>
      <c r="AD14" s="30" t="str">
        <f t="shared" si="2"/>
        <v>Build</v>
      </c>
      <c r="AE14" s="30" t="str">
        <f t="shared" si="2"/>
        <v>Build</v>
      </c>
      <c r="AF14" s="30" t="str">
        <f t="shared" si="2"/>
        <v>Build</v>
      </c>
      <c r="AG14" s="30" t="str">
        <f t="shared" si="2"/>
        <v>Build</v>
      </c>
      <c r="AH14" s="30" t="str">
        <f t="shared" si="2"/>
        <v>Build</v>
      </c>
      <c r="AI14" s="30" t="str">
        <f t="shared" si="2"/>
        <v>Build</v>
      </c>
      <c r="AJ14" s="30" t="str">
        <f t="shared" si="2"/>
        <v>Build</v>
      </c>
      <c r="AK14" s="30" t="str">
        <f t="shared" si="2"/>
        <v>Build</v>
      </c>
      <c r="AL14" s="30" t="str">
        <f t="shared" ref="AL14:BG14" si="3">IF(AL$12&lt;0,"Raise",IF(AL$12=0,"Close",IF(AL$12&lt;=$B$7,"Pre-dev",IF(AL$12&lt;=$B$7+$B$8,"Build",IF(AL$12&lt;=$B$7+$B$8+$B$9,"Sell","")))))</f>
        <v>Build</v>
      </c>
      <c r="AM14" s="30" t="str">
        <f t="shared" si="3"/>
        <v>Sell</v>
      </c>
      <c r="AN14" s="30" t="str">
        <f t="shared" si="3"/>
        <v>Sell</v>
      </c>
      <c r="AO14" s="30" t="str">
        <f t="shared" si="3"/>
        <v>Sell</v>
      </c>
      <c r="AP14" s="30" t="str">
        <f t="shared" si="3"/>
        <v>Sell</v>
      </c>
      <c r="AQ14" s="30" t="str">
        <f t="shared" si="3"/>
        <v>Sell</v>
      </c>
      <c r="AR14" s="30" t="str">
        <f t="shared" si="3"/>
        <v>Sell</v>
      </c>
      <c r="AS14" s="30" t="str">
        <f t="shared" si="3"/>
        <v/>
      </c>
      <c r="AT14" s="30" t="str">
        <f t="shared" si="3"/>
        <v/>
      </c>
      <c r="AU14" s="30" t="str">
        <f t="shared" si="3"/>
        <v/>
      </c>
      <c r="AV14" s="30" t="str">
        <f t="shared" si="3"/>
        <v/>
      </c>
      <c r="AW14" s="30" t="str">
        <f t="shared" si="3"/>
        <v/>
      </c>
      <c r="AX14" s="30" t="str">
        <f t="shared" si="3"/>
        <v/>
      </c>
      <c r="AY14" s="30" t="str">
        <f t="shared" si="3"/>
        <v/>
      </c>
      <c r="AZ14" s="30" t="str">
        <f t="shared" si="3"/>
        <v/>
      </c>
      <c r="BA14" s="30" t="str">
        <f t="shared" si="3"/>
        <v/>
      </c>
      <c r="BB14" s="30" t="str">
        <f t="shared" si="3"/>
        <v/>
      </c>
      <c r="BC14" s="30" t="str">
        <f t="shared" si="3"/>
        <v/>
      </c>
      <c r="BD14" s="30" t="str">
        <f t="shared" si="3"/>
        <v/>
      </c>
      <c r="BE14" s="30" t="str">
        <f t="shared" si="3"/>
        <v/>
      </c>
      <c r="BF14" s="30" t="str">
        <f t="shared" si="3"/>
        <v/>
      </c>
      <c r="BG14" s="30" t="str">
        <f t="shared" si="3"/>
        <v/>
      </c>
    </row>
    <row r="16" spans="1:59" ht="13" x14ac:dyDescent="0.3">
      <c r="A16" s="18" t="s">
        <v>365</v>
      </c>
      <c r="F16" s="2" t="s">
        <v>366</v>
      </c>
    </row>
    <row r="17" spans="1:59" x14ac:dyDescent="0.25">
      <c r="A17" s="4" t="s">
        <v>367</v>
      </c>
      <c r="C17" s="6">
        <v>-6</v>
      </c>
      <c r="D17" s="6">
        <v>-4</v>
      </c>
      <c r="F17" s="36">
        <f t="shared" ref="F17:O26" si="4">IF(AND(F$12&gt;=$C17,F$12&lt;=$D17),1,0)</f>
        <v>1</v>
      </c>
      <c r="G17" s="36">
        <f t="shared" si="4"/>
        <v>1</v>
      </c>
      <c r="H17" s="36">
        <f t="shared" si="4"/>
        <v>1</v>
      </c>
      <c r="I17" s="36">
        <f t="shared" si="4"/>
        <v>0</v>
      </c>
      <c r="J17" s="36">
        <f t="shared" si="4"/>
        <v>0</v>
      </c>
      <c r="K17" s="36">
        <f t="shared" si="4"/>
        <v>0</v>
      </c>
      <c r="L17" s="36">
        <f t="shared" si="4"/>
        <v>0</v>
      </c>
      <c r="M17" s="36">
        <f t="shared" si="4"/>
        <v>0</v>
      </c>
      <c r="N17" s="36">
        <f t="shared" si="4"/>
        <v>0</v>
      </c>
      <c r="O17" s="36">
        <f t="shared" si="4"/>
        <v>0</v>
      </c>
      <c r="P17" s="36">
        <f t="shared" ref="P17:Y26" si="5">IF(AND(P$12&gt;=$C17,P$12&lt;=$D17),1,0)</f>
        <v>0</v>
      </c>
      <c r="Q17" s="36">
        <f t="shared" si="5"/>
        <v>0</v>
      </c>
      <c r="R17" s="36">
        <f t="shared" si="5"/>
        <v>0</v>
      </c>
      <c r="S17" s="36">
        <f t="shared" si="5"/>
        <v>0</v>
      </c>
      <c r="T17" s="36">
        <f t="shared" si="5"/>
        <v>0</v>
      </c>
      <c r="U17" s="36">
        <f t="shared" si="5"/>
        <v>0</v>
      </c>
      <c r="V17" s="36">
        <f t="shared" si="5"/>
        <v>0</v>
      </c>
      <c r="W17" s="36">
        <f t="shared" si="5"/>
        <v>0</v>
      </c>
      <c r="X17" s="36">
        <f t="shared" si="5"/>
        <v>0</v>
      </c>
      <c r="Y17" s="36">
        <f t="shared" si="5"/>
        <v>0</v>
      </c>
      <c r="Z17" s="36">
        <f t="shared" ref="Z17:AI26" si="6">IF(AND(Z$12&gt;=$C17,Z$12&lt;=$D17),1,0)</f>
        <v>0</v>
      </c>
      <c r="AA17" s="36">
        <f t="shared" si="6"/>
        <v>0</v>
      </c>
      <c r="AB17" s="36">
        <f t="shared" si="6"/>
        <v>0</v>
      </c>
      <c r="AC17" s="36">
        <f t="shared" si="6"/>
        <v>0</v>
      </c>
      <c r="AD17" s="36">
        <f t="shared" si="6"/>
        <v>0</v>
      </c>
      <c r="AE17" s="36">
        <f t="shared" si="6"/>
        <v>0</v>
      </c>
      <c r="AF17" s="36">
        <f t="shared" si="6"/>
        <v>0</v>
      </c>
      <c r="AG17" s="36">
        <f t="shared" si="6"/>
        <v>0</v>
      </c>
      <c r="AH17" s="36">
        <f t="shared" si="6"/>
        <v>0</v>
      </c>
      <c r="AI17" s="36">
        <f t="shared" si="6"/>
        <v>0</v>
      </c>
      <c r="AJ17" s="36">
        <f t="shared" ref="AJ17:AS26" si="7">IF(AND(AJ$12&gt;=$C17,AJ$12&lt;=$D17),1,0)</f>
        <v>0</v>
      </c>
      <c r="AK17" s="36">
        <f t="shared" si="7"/>
        <v>0</v>
      </c>
      <c r="AL17" s="36">
        <f t="shared" si="7"/>
        <v>0</v>
      </c>
      <c r="AM17" s="36">
        <f t="shared" si="7"/>
        <v>0</v>
      </c>
      <c r="AN17" s="36">
        <f t="shared" si="7"/>
        <v>0</v>
      </c>
      <c r="AO17" s="36">
        <f t="shared" si="7"/>
        <v>0</v>
      </c>
      <c r="AP17" s="36">
        <f t="shared" si="7"/>
        <v>0</v>
      </c>
      <c r="AQ17" s="36">
        <f t="shared" si="7"/>
        <v>0</v>
      </c>
      <c r="AR17" s="36">
        <f t="shared" si="7"/>
        <v>0</v>
      </c>
      <c r="AS17" s="36">
        <f t="shared" si="7"/>
        <v>0</v>
      </c>
      <c r="AT17" s="36">
        <f t="shared" ref="AT17:BG26" si="8">IF(AND(AT$12&gt;=$C17,AT$12&lt;=$D17),1,0)</f>
        <v>0</v>
      </c>
      <c r="AU17" s="36">
        <f t="shared" si="8"/>
        <v>0</v>
      </c>
      <c r="AV17" s="36">
        <f t="shared" si="8"/>
        <v>0</v>
      </c>
      <c r="AW17" s="36">
        <f t="shared" si="8"/>
        <v>0</v>
      </c>
      <c r="AX17" s="36">
        <f t="shared" si="8"/>
        <v>0</v>
      </c>
      <c r="AY17" s="36">
        <f t="shared" si="8"/>
        <v>0</v>
      </c>
      <c r="AZ17" s="36">
        <f t="shared" si="8"/>
        <v>0</v>
      </c>
      <c r="BA17" s="36">
        <f t="shared" si="8"/>
        <v>0</v>
      </c>
      <c r="BB17" s="36">
        <f t="shared" si="8"/>
        <v>0</v>
      </c>
      <c r="BC17" s="36">
        <f t="shared" si="8"/>
        <v>0</v>
      </c>
      <c r="BD17" s="36">
        <f t="shared" si="8"/>
        <v>0</v>
      </c>
      <c r="BE17" s="36">
        <f t="shared" si="8"/>
        <v>0</v>
      </c>
      <c r="BF17" s="36">
        <f t="shared" si="8"/>
        <v>0</v>
      </c>
      <c r="BG17" s="36">
        <f t="shared" si="8"/>
        <v>0</v>
      </c>
    </row>
    <row r="18" spans="1:59" x14ac:dyDescent="0.25">
      <c r="A18" s="4" t="s">
        <v>368</v>
      </c>
      <c r="C18" s="6">
        <v>-3</v>
      </c>
      <c r="D18" s="6">
        <v>-1</v>
      </c>
      <c r="F18" s="36">
        <f t="shared" si="4"/>
        <v>0</v>
      </c>
      <c r="G18" s="36">
        <f t="shared" si="4"/>
        <v>0</v>
      </c>
      <c r="H18" s="36">
        <f t="shared" si="4"/>
        <v>0</v>
      </c>
      <c r="I18" s="36">
        <f t="shared" si="4"/>
        <v>1</v>
      </c>
      <c r="J18" s="36">
        <f t="shared" si="4"/>
        <v>1</v>
      </c>
      <c r="K18" s="36">
        <f t="shared" si="4"/>
        <v>1</v>
      </c>
      <c r="L18" s="36">
        <f t="shared" si="4"/>
        <v>0</v>
      </c>
      <c r="M18" s="36">
        <f t="shared" si="4"/>
        <v>0</v>
      </c>
      <c r="N18" s="36">
        <f t="shared" si="4"/>
        <v>0</v>
      </c>
      <c r="O18" s="36">
        <f t="shared" si="4"/>
        <v>0</v>
      </c>
      <c r="P18" s="36">
        <f t="shared" si="5"/>
        <v>0</v>
      </c>
      <c r="Q18" s="36">
        <f t="shared" si="5"/>
        <v>0</v>
      </c>
      <c r="R18" s="36">
        <f t="shared" si="5"/>
        <v>0</v>
      </c>
      <c r="S18" s="36">
        <f t="shared" si="5"/>
        <v>0</v>
      </c>
      <c r="T18" s="36">
        <f t="shared" si="5"/>
        <v>0</v>
      </c>
      <c r="U18" s="36">
        <f t="shared" si="5"/>
        <v>0</v>
      </c>
      <c r="V18" s="36">
        <f t="shared" si="5"/>
        <v>0</v>
      </c>
      <c r="W18" s="36">
        <f t="shared" si="5"/>
        <v>0</v>
      </c>
      <c r="X18" s="36">
        <f t="shared" si="5"/>
        <v>0</v>
      </c>
      <c r="Y18" s="36">
        <f t="shared" si="5"/>
        <v>0</v>
      </c>
      <c r="Z18" s="36">
        <f t="shared" si="6"/>
        <v>0</v>
      </c>
      <c r="AA18" s="36">
        <f t="shared" si="6"/>
        <v>0</v>
      </c>
      <c r="AB18" s="36">
        <f t="shared" si="6"/>
        <v>0</v>
      </c>
      <c r="AC18" s="36">
        <f t="shared" si="6"/>
        <v>0</v>
      </c>
      <c r="AD18" s="36">
        <f t="shared" si="6"/>
        <v>0</v>
      </c>
      <c r="AE18" s="36">
        <f t="shared" si="6"/>
        <v>0</v>
      </c>
      <c r="AF18" s="36">
        <f t="shared" si="6"/>
        <v>0</v>
      </c>
      <c r="AG18" s="36">
        <f t="shared" si="6"/>
        <v>0</v>
      </c>
      <c r="AH18" s="36">
        <f t="shared" si="6"/>
        <v>0</v>
      </c>
      <c r="AI18" s="36">
        <f t="shared" si="6"/>
        <v>0</v>
      </c>
      <c r="AJ18" s="36">
        <f t="shared" si="7"/>
        <v>0</v>
      </c>
      <c r="AK18" s="36">
        <f t="shared" si="7"/>
        <v>0</v>
      </c>
      <c r="AL18" s="36">
        <f t="shared" si="7"/>
        <v>0</v>
      </c>
      <c r="AM18" s="36">
        <f t="shared" si="7"/>
        <v>0</v>
      </c>
      <c r="AN18" s="36">
        <f t="shared" si="7"/>
        <v>0</v>
      </c>
      <c r="AO18" s="36">
        <f t="shared" si="7"/>
        <v>0</v>
      </c>
      <c r="AP18" s="36">
        <f t="shared" si="7"/>
        <v>0</v>
      </c>
      <c r="AQ18" s="36">
        <f t="shared" si="7"/>
        <v>0</v>
      </c>
      <c r="AR18" s="36">
        <f t="shared" si="7"/>
        <v>0</v>
      </c>
      <c r="AS18" s="36">
        <f t="shared" si="7"/>
        <v>0</v>
      </c>
      <c r="AT18" s="36">
        <f t="shared" si="8"/>
        <v>0</v>
      </c>
      <c r="AU18" s="36">
        <f t="shared" si="8"/>
        <v>0</v>
      </c>
      <c r="AV18" s="36">
        <f t="shared" si="8"/>
        <v>0</v>
      </c>
      <c r="AW18" s="36">
        <f t="shared" si="8"/>
        <v>0</v>
      </c>
      <c r="AX18" s="36">
        <f t="shared" si="8"/>
        <v>0</v>
      </c>
      <c r="AY18" s="36">
        <f t="shared" si="8"/>
        <v>0</v>
      </c>
      <c r="AZ18" s="36">
        <f t="shared" si="8"/>
        <v>0</v>
      </c>
      <c r="BA18" s="36">
        <f t="shared" si="8"/>
        <v>0</v>
      </c>
      <c r="BB18" s="36">
        <f t="shared" si="8"/>
        <v>0</v>
      </c>
      <c r="BC18" s="36">
        <f t="shared" si="8"/>
        <v>0</v>
      </c>
      <c r="BD18" s="36">
        <f t="shared" si="8"/>
        <v>0</v>
      </c>
      <c r="BE18" s="36">
        <f t="shared" si="8"/>
        <v>0</v>
      </c>
      <c r="BF18" s="36">
        <f t="shared" si="8"/>
        <v>0</v>
      </c>
      <c r="BG18" s="36">
        <f t="shared" si="8"/>
        <v>0</v>
      </c>
    </row>
    <row r="19" spans="1:59" x14ac:dyDescent="0.25">
      <c r="A19" s="4" t="s">
        <v>369</v>
      </c>
      <c r="C19" s="6">
        <v>0</v>
      </c>
      <c r="D19" s="6">
        <v>0</v>
      </c>
      <c r="F19" s="36">
        <f t="shared" si="4"/>
        <v>0</v>
      </c>
      <c r="G19" s="36">
        <f t="shared" si="4"/>
        <v>0</v>
      </c>
      <c r="H19" s="36">
        <f t="shared" si="4"/>
        <v>0</v>
      </c>
      <c r="I19" s="36">
        <f t="shared" si="4"/>
        <v>0</v>
      </c>
      <c r="J19" s="36">
        <f t="shared" si="4"/>
        <v>0</v>
      </c>
      <c r="K19" s="36">
        <f t="shared" si="4"/>
        <v>0</v>
      </c>
      <c r="L19" s="36">
        <f t="shared" si="4"/>
        <v>1</v>
      </c>
      <c r="M19" s="36">
        <f t="shared" si="4"/>
        <v>0</v>
      </c>
      <c r="N19" s="36">
        <f t="shared" si="4"/>
        <v>0</v>
      </c>
      <c r="O19" s="36">
        <f t="shared" si="4"/>
        <v>0</v>
      </c>
      <c r="P19" s="36">
        <f t="shared" si="5"/>
        <v>0</v>
      </c>
      <c r="Q19" s="36">
        <f t="shared" si="5"/>
        <v>0</v>
      </c>
      <c r="R19" s="36">
        <f t="shared" si="5"/>
        <v>0</v>
      </c>
      <c r="S19" s="36">
        <f t="shared" si="5"/>
        <v>0</v>
      </c>
      <c r="T19" s="36">
        <f t="shared" si="5"/>
        <v>0</v>
      </c>
      <c r="U19" s="36">
        <f t="shared" si="5"/>
        <v>0</v>
      </c>
      <c r="V19" s="36">
        <f t="shared" si="5"/>
        <v>0</v>
      </c>
      <c r="W19" s="36">
        <f t="shared" si="5"/>
        <v>0</v>
      </c>
      <c r="X19" s="36">
        <f t="shared" si="5"/>
        <v>0</v>
      </c>
      <c r="Y19" s="36">
        <f t="shared" si="5"/>
        <v>0</v>
      </c>
      <c r="Z19" s="36">
        <f t="shared" si="6"/>
        <v>0</v>
      </c>
      <c r="AA19" s="36">
        <f t="shared" si="6"/>
        <v>0</v>
      </c>
      <c r="AB19" s="36">
        <f t="shared" si="6"/>
        <v>0</v>
      </c>
      <c r="AC19" s="36">
        <f t="shared" si="6"/>
        <v>0</v>
      </c>
      <c r="AD19" s="36">
        <f t="shared" si="6"/>
        <v>0</v>
      </c>
      <c r="AE19" s="36">
        <f t="shared" si="6"/>
        <v>0</v>
      </c>
      <c r="AF19" s="36">
        <f t="shared" si="6"/>
        <v>0</v>
      </c>
      <c r="AG19" s="36">
        <f t="shared" si="6"/>
        <v>0</v>
      </c>
      <c r="AH19" s="36">
        <f t="shared" si="6"/>
        <v>0</v>
      </c>
      <c r="AI19" s="36">
        <f t="shared" si="6"/>
        <v>0</v>
      </c>
      <c r="AJ19" s="36">
        <f t="shared" si="7"/>
        <v>0</v>
      </c>
      <c r="AK19" s="36">
        <f t="shared" si="7"/>
        <v>0</v>
      </c>
      <c r="AL19" s="36">
        <f t="shared" si="7"/>
        <v>0</v>
      </c>
      <c r="AM19" s="36">
        <f t="shared" si="7"/>
        <v>0</v>
      </c>
      <c r="AN19" s="36">
        <f t="shared" si="7"/>
        <v>0</v>
      </c>
      <c r="AO19" s="36">
        <f t="shared" si="7"/>
        <v>0</v>
      </c>
      <c r="AP19" s="36">
        <f t="shared" si="7"/>
        <v>0</v>
      </c>
      <c r="AQ19" s="36">
        <f t="shared" si="7"/>
        <v>0</v>
      </c>
      <c r="AR19" s="36">
        <f t="shared" si="7"/>
        <v>0</v>
      </c>
      <c r="AS19" s="36">
        <f t="shared" si="7"/>
        <v>0</v>
      </c>
      <c r="AT19" s="36">
        <f t="shared" si="8"/>
        <v>0</v>
      </c>
      <c r="AU19" s="36">
        <f t="shared" si="8"/>
        <v>0</v>
      </c>
      <c r="AV19" s="36">
        <f t="shared" si="8"/>
        <v>0</v>
      </c>
      <c r="AW19" s="36">
        <f t="shared" si="8"/>
        <v>0</v>
      </c>
      <c r="AX19" s="36">
        <f t="shared" si="8"/>
        <v>0</v>
      </c>
      <c r="AY19" s="36">
        <f t="shared" si="8"/>
        <v>0</v>
      </c>
      <c r="AZ19" s="36">
        <f t="shared" si="8"/>
        <v>0</v>
      </c>
      <c r="BA19" s="36">
        <f t="shared" si="8"/>
        <v>0</v>
      </c>
      <c r="BB19" s="36">
        <f t="shared" si="8"/>
        <v>0</v>
      </c>
      <c r="BC19" s="36">
        <f t="shared" si="8"/>
        <v>0</v>
      </c>
      <c r="BD19" s="36">
        <f t="shared" si="8"/>
        <v>0</v>
      </c>
      <c r="BE19" s="36">
        <f t="shared" si="8"/>
        <v>0</v>
      </c>
      <c r="BF19" s="36">
        <f t="shared" si="8"/>
        <v>0</v>
      </c>
      <c r="BG19" s="36">
        <f t="shared" si="8"/>
        <v>0</v>
      </c>
    </row>
    <row r="20" spans="1:59" x14ac:dyDescent="0.25">
      <c r="A20" s="4" t="s">
        <v>370</v>
      </c>
      <c r="C20" s="6">
        <v>1</v>
      </c>
      <c r="D20" s="6">
        <v>3</v>
      </c>
      <c r="F20" s="36">
        <f t="shared" si="4"/>
        <v>0</v>
      </c>
      <c r="G20" s="36">
        <f t="shared" si="4"/>
        <v>0</v>
      </c>
      <c r="H20" s="36">
        <f t="shared" si="4"/>
        <v>0</v>
      </c>
      <c r="I20" s="36">
        <f t="shared" si="4"/>
        <v>0</v>
      </c>
      <c r="J20" s="36">
        <f t="shared" si="4"/>
        <v>0</v>
      </c>
      <c r="K20" s="36">
        <f t="shared" si="4"/>
        <v>0</v>
      </c>
      <c r="L20" s="36">
        <f t="shared" si="4"/>
        <v>0</v>
      </c>
      <c r="M20" s="36">
        <f t="shared" si="4"/>
        <v>1</v>
      </c>
      <c r="N20" s="36">
        <f t="shared" si="4"/>
        <v>1</v>
      </c>
      <c r="O20" s="36">
        <f t="shared" si="4"/>
        <v>1</v>
      </c>
      <c r="P20" s="36">
        <f t="shared" si="5"/>
        <v>0</v>
      </c>
      <c r="Q20" s="36">
        <f t="shared" si="5"/>
        <v>0</v>
      </c>
      <c r="R20" s="36">
        <f t="shared" si="5"/>
        <v>0</v>
      </c>
      <c r="S20" s="36">
        <f t="shared" si="5"/>
        <v>0</v>
      </c>
      <c r="T20" s="36">
        <f t="shared" si="5"/>
        <v>0</v>
      </c>
      <c r="U20" s="36">
        <f t="shared" si="5"/>
        <v>0</v>
      </c>
      <c r="V20" s="36">
        <f t="shared" si="5"/>
        <v>0</v>
      </c>
      <c r="W20" s="36">
        <f t="shared" si="5"/>
        <v>0</v>
      </c>
      <c r="X20" s="36">
        <f t="shared" si="5"/>
        <v>0</v>
      </c>
      <c r="Y20" s="36">
        <f t="shared" si="5"/>
        <v>0</v>
      </c>
      <c r="Z20" s="36">
        <f t="shared" si="6"/>
        <v>0</v>
      </c>
      <c r="AA20" s="36">
        <f t="shared" si="6"/>
        <v>0</v>
      </c>
      <c r="AB20" s="36">
        <f t="shared" si="6"/>
        <v>0</v>
      </c>
      <c r="AC20" s="36">
        <f t="shared" si="6"/>
        <v>0</v>
      </c>
      <c r="AD20" s="36">
        <f t="shared" si="6"/>
        <v>0</v>
      </c>
      <c r="AE20" s="36">
        <f t="shared" si="6"/>
        <v>0</v>
      </c>
      <c r="AF20" s="36">
        <f t="shared" si="6"/>
        <v>0</v>
      </c>
      <c r="AG20" s="36">
        <f t="shared" si="6"/>
        <v>0</v>
      </c>
      <c r="AH20" s="36">
        <f t="shared" si="6"/>
        <v>0</v>
      </c>
      <c r="AI20" s="36">
        <f t="shared" si="6"/>
        <v>0</v>
      </c>
      <c r="AJ20" s="36">
        <f t="shared" si="7"/>
        <v>0</v>
      </c>
      <c r="AK20" s="36">
        <f t="shared" si="7"/>
        <v>0</v>
      </c>
      <c r="AL20" s="36">
        <f t="shared" si="7"/>
        <v>0</v>
      </c>
      <c r="AM20" s="36">
        <f t="shared" si="7"/>
        <v>0</v>
      </c>
      <c r="AN20" s="36">
        <f t="shared" si="7"/>
        <v>0</v>
      </c>
      <c r="AO20" s="36">
        <f t="shared" si="7"/>
        <v>0</v>
      </c>
      <c r="AP20" s="36">
        <f t="shared" si="7"/>
        <v>0</v>
      </c>
      <c r="AQ20" s="36">
        <f t="shared" si="7"/>
        <v>0</v>
      </c>
      <c r="AR20" s="36">
        <f t="shared" si="7"/>
        <v>0</v>
      </c>
      <c r="AS20" s="36">
        <f t="shared" si="7"/>
        <v>0</v>
      </c>
      <c r="AT20" s="36">
        <f t="shared" si="8"/>
        <v>0</v>
      </c>
      <c r="AU20" s="36">
        <f t="shared" si="8"/>
        <v>0</v>
      </c>
      <c r="AV20" s="36">
        <f t="shared" si="8"/>
        <v>0</v>
      </c>
      <c r="AW20" s="36">
        <f t="shared" si="8"/>
        <v>0</v>
      </c>
      <c r="AX20" s="36">
        <f t="shared" si="8"/>
        <v>0</v>
      </c>
      <c r="AY20" s="36">
        <f t="shared" si="8"/>
        <v>0</v>
      </c>
      <c r="AZ20" s="36">
        <f t="shared" si="8"/>
        <v>0</v>
      </c>
      <c r="BA20" s="36">
        <f t="shared" si="8"/>
        <v>0</v>
      </c>
      <c r="BB20" s="36">
        <f t="shared" si="8"/>
        <v>0</v>
      </c>
      <c r="BC20" s="36">
        <f t="shared" si="8"/>
        <v>0</v>
      </c>
      <c r="BD20" s="36">
        <f t="shared" si="8"/>
        <v>0</v>
      </c>
      <c r="BE20" s="36">
        <f t="shared" si="8"/>
        <v>0</v>
      </c>
      <c r="BF20" s="36">
        <f t="shared" si="8"/>
        <v>0</v>
      </c>
      <c r="BG20" s="36">
        <f t="shared" si="8"/>
        <v>0</v>
      </c>
    </row>
    <row r="21" spans="1:59" x14ac:dyDescent="0.25">
      <c r="A21" s="4" t="s">
        <v>371</v>
      </c>
      <c r="C21" s="6">
        <v>1</v>
      </c>
      <c r="D21" s="6">
        <v>4</v>
      </c>
      <c r="F21" s="36">
        <f t="shared" si="4"/>
        <v>0</v>
      </c>
      <c r="G21" s="36">
        <f t="shared" si="4"/>
        <v>0</v>
      </c>
      <c r="H21" s="36">
        <f t="shared" si="4"/>
        <v>0</v>
      </c>
      <c r="I21" s="36">
        <f t="shared" si="4"/>
        <v>0</v>
      </c>
      <c r="J21" s="36">
        <f t="shared" si="4"/>
        <v>0</v>
      </c>
      <c r="K21" s="36">
        <f t="shared" si="4"/>
        <v>0</v>
      </c>
      <c r="L21" s="36">
        <f t="shared" si="4"/>
        <v>0</v>
      </c>
      <c r="M21" s="36">
        <f t="shared" si="4"/>
        <v>1</v>
      </c>
      <c r="N21" s="36">
        <f t="shared" si="4"/>
        <v>1</v>
      </c>
      <c r="O21" s="36">
        <f t="shared" si="4"/>
        <v>1</v>
      </c>
      <c r="P21" s="36">
        <f t="shared" si="5"/>
        <v>1</v>
      </c>
      <c r="Q21" s="36">
        <f t="shared" si="5"/>
        <v>0</v>
      </c>
      <c r="R21" s="36">
        <f t="shared" si="5"/>
        <v>0</v>
      </c>
      <c r="S21" s="36">
        <f t="shared" si="5"/>
        <v>0</v>
      </c>
      <c r="T21" s="36">
        <f t="shared" si="5"/>
        <v>0</v>
      </c>
      <c r="U21" s="36">
        <f t="shared" si="5"/>
        <v>0</v>
      </c>
      <c r="V21" s="36">
        <f t="shared" si="5"/>
        <v>0</v>
      </c>
      <c r="W21" s="36">
        <f t="shared" si="5"/>
        <v>0</v>
      </c>
      <c r="X21" s="36">
        <f t="shared" si="5"/>
        <v>0</v>
      </c>
      <c r="Y21" s="36">
        <f t="shared" si="5"/>
        <v>0</v>
      </c>
      <c r="Z21" s="36">
        <f t="shared" si="6"/>
        <v>0</v>
      </c>
      <c r="AA21" s="36">
        <f t="shared" si="6"/>
        <v>0</v>
      </c>
      <c r="AB21" s="36">
        <f t="shared" si="6"/>
        <v>0</v>
      </c>
      <c r="AC21" s="36">
        <f t="shared" si="6"/>
        <v>0</v>
      </c>
      <c r="AD21" s="36">
        <f t="shared" si="6"/>
        <v>0</v>
      </c>
      <c r="AE21" s="36">
        <f t="shared" si="6"/>
        <v>0</v>
      </c>
      <c r="AF21" s="36">
        <f t="shared" si="6"/>
        <v>0</v>
      </c>
      <c r="AG21" s="36">
        <f t="shared" si="6"/>
        <v>0</v>
      </c>
      <c r="AH21" s="36">
        <f t="shared" si="6"/>
        <v>0</v>
      </c>
      <c r="AI21" s="36">
        <f t="shared" si="6"/>
        <v>0</v>
      </c>
      <c r="AJ21" s="36">
        <f t="shared" si="7"/>
        <v>0</v>
      </c>
      <c r="AK21" s="36">
        <f t="shared" si="7"/>
        <v>0</v>
      </c>
      <c r="AL21" s="36">
        <f t="shared" si="7"/>
        <v>0</v>
      </c>
      <c r="AM21" s="36">
        <f t="shared" si="7"/>
        <v>0</v>
      </c>
      <c r="AN21" s="36">
        <f t="shared" si="7"/>
        <v>0</v>
      </c>
      <c r="AO21" s="36">
        <f t="shared" si="7"/>
        <v>0</v>
      </c>
      <c r="AP21" s="36">
        <f t="shared" si="7"/>
        <v>0</v>
      </c>
      <c r="AQ21" s="36">
        <f t="shared" si="7"/>
        <v>0</v>
      </c>
      <c r="AR21" s="36">
        <f t="shared" si="7"/>
        <v>0</v>
      </c>
      <c r="AS21" s="36">
        <f t="shared" si="7"/>
        <v>0</v>
      </c>
      <c r="AT21" s="36">
        <f t="shared" si="8"/>
        <v>0</v>
      </c>
      <c r="AU21" s="36">
        <f t="shared" si="8"/>
        <v>0</v>
      </c>
      <c r="AV21" s="36">
        <f t="shared" si="8"/>
        <v>0</v>
      </c>
      <c r="AW21" s="36">
        <f t="shared" si="8"/>
        <v>0</v>
      </c>
      <c r="AX21" s="36">
        <f t="shared" si="8"/>
        <v>0</v>
      </c>
      <c r="AY21" s="36">
        <f t="shared" si="8"/>
        <v>0</v>
      </c>
      <c r="AZ21" s="36">
        <f t="shared" si="8"/>
        <v>0</v>
      </c>
      <c r="BA21" s="36">
        <f t="shared" si="8"/>
        <v>0</v>
      </c>
      <c r="BB21" s="36">
        <f t="shared" si="8"/>
        <v>0</v>
      </c>
      <c r="BC21" s="36">
        <f t="shared" si="8"/>
        <v>0</v>
      </c>
      <c r="BD21" s="36">
        <f t="shared" si="8"/>
        <v>0</v>
      </c>
      <c r="BE21" s="36">
        <f t="shared" si="8"/>
        <v>0</v>
      </c>
      <c r="BF21" s="36">
        <f t="shared" si="8"/>
        <v>0</v>
      </c>
      <c r="BG21" s="36">
        <f t="shared" si="8"/>
        <v>0</v>
      </c>
    </row>
    <row r="22" spans="1:59" x14ac:dyDescent="0.25">
      <c r="A22" s="4" t="s">
        <v>372</v>
      </c>
      <c r="C22" s="6">
        <v>2</v>
      </c>
      <c r="D22" s="6">
        <v>4</v>
      </c>
      <c r="F22" s="36">
        <f t="shared" si="4"/>
        <v>0</v>
      </c>
      <c r="G22" s="36">
        <f t="shared" si="4"/>
        <v>0</v>
      </c>
      <c r="H22" s="36">
        <f t="shared" si="4"/>
        <v>0</v>
      </c>
      <c r="I22" s="36">
        <f t="shared" si="4"/>
        <v>0</v>
      </c>
      <c r="J22" s="36">
        <f t="shared" si="4"/>
        <v>0</v>
      </c>
      <c r="K22" s="36">
        <f t="shared" si="4"/>
        <v>0</v>
      </c>
      <c r="L22" s="36">
        <f t="shared" si="4"/>
        <v>0</v>
      </c>
      <c r="M22" s="36">
        <f t="shared" si="4"/>
        <v>0</v>
      </c>
      <c r="N22" s="36">
        <f t="shared" si="4"/>
        <v>1</v>
      </c>
      <c r="O22" s="36">
        <f t="shared" si="4"/>
        <v>1</v>
      </c>
      <c r="P22" s="36">
        <f t="shared" si="5"/>
        <v>1</v>
      </c>
      <c r="Q22" s="36">
        <f t="shared" si="5"/>
        <v>0</v>
      </c>
      <c r="R22" s="36">
        <f t="shared" si="5"/>
        <v>0</v>
      </c>
      <c r="S22" s="36">
        <f t="shared" si="5"/>
        <v>0</v>
      </c>
      <c r="T22" s="36">
        <f t="shared" si="5"/>
        <v>0</v>
      </c>
      <c r="U22" s="36">
        <f t="shared" si="5"/>
        <v>0</v>
      </c>
      <c r="V22" s="36">
        <f t="shared" si="5"/>
        <v>0</v>
      </c>
      <c r="W22" s="36">
        <f t="shared" si="5"/>
        <v>0</v>
      </c>
      <c r="X22" s="36">
        <f t="shared" si="5"/>
        <v>0</v>
      </c>
      <c r="Y22" s="36">
        <f t="shared" si="5"/>
        <v>0</v>
      </c>
      <c r="Z22" s="36">
        <f t="shared" si="6"/>
        <v>0</v>
      </c>
      <c r="AA22" s="36">
        <f t="shared" si="6"/>
        <v>0</v>
      </c>
      <c r="AB22" s="36">
        <f t="shared" si="6"/>
        <v>0</v>
      </c>
      <c r="AC22" s="36">
        <f t="shared" si="6"/>
        <v>0</v>
      </c>
      <c r="AD22" s="36">
        <f t="shared" si="6"/>
        <v>0</v>
      </c>
      <c r="AE22" s="36">
        <f t="shared" si="6"/>
        <v>0</v>
      </c>
      <c r="AF22" s="36">
        <f t="shared" si="6"/>
        <v>0</v>
      </c>
      <c r="AG22" s="36">
        <f t="shared" si="6"/>
        <v>0</v>
      </c>
      <c r="AH22" s="36">
        <f t="shared" si="6"/>
        <v>0</v>
      </c>
      <c r="AI22" s="36">
        <f t="shared" si="6"/>
        <v>0</v>
      </c>
      <c r="AJ22" s="36">
        <f t="shared" si="7"/>
        <v>0</v>
      </c>
      <c r="AK22" s="36">
        <f t="shared" si="7"/>
        <v>0</v>
      </c>
      <c r="AL22" s="36">
        <f t="shared" si="7"/>
        <v>0</v>
      </c>
      <c r="AM22" s="36">
        <f t="shared" si="7"/>
        <v>0</v>
      </c>
      <c r="AN22" s="36">
        <f t="shared" si="7"/>
        <v>0</v>
      </c>
      <c r="AO22" s="36">
        <f t="shared" si="7"/>
        <v>0</v>
      </c>
      <c r="AP22" s="36">
        <f t="shared" si="7"/>
        <v>0</v>
      </c>
      <c r="AQ22" s="36">
        <f t="shared" si="7"/>
        <v>0</v>
      </c>
      <c r="AR22" s="36">
        <f t="shared" si="7"/>
        <v>0</v>
      </c>
      <c r="AS22" s="36">
        <f t="shared" si="7"/>
        <v>0</v>
      </c>
      <c r="AT22" s="36">
        <f t="shared" si="8"/>
        <v>0</v>
      </c>
      <c r="AU22" s="36">
        <f t="shared" si="8"/>
        <v>0</v>
      </c>
      <c r="AV22" s="36">
        <f t="shared" si="8"/>
        <v>0</v>
      </c>
      <c r="AW22" s="36">
        <f t="shared" si="8"/>
        <v>0</v>
      </c>
      <c r="AX22" s="36">
        <f t="shared" si="8"/>
        <v>0</v>
      </c>
      <c r="AY22" s="36">
        <f t="shared" si="8"/>
        <v>0</v>
      </c>
      <c r="AZ22" s="36">
        <f t="shared" si="8"/>
        <v>0</v>
      </c>
      <c r="BA22" s="36">
        <f t="shared" si="8"/>
        <v>0</v>
      </c>
      <c r="BB22" s="36">
        <f t="shared" si="8"/>
        <v>0</v>
      </c>
      <c r="BC22" s="36">
        <f t="shared" si="8"/>
        <v>0</v>
      </c>
      <c r="BD22" s="36">
        <f t="shared" si="8"/>
        <v>0</v>
      </c>
      <c r="BE22" s="36">
        <f t="shared" si="8"/>
        <v>0</v>
      </c>
      <c r="BF22" s="36">
        <f t="shared" si="8"/>
        <v>0</v>
      </c>
      <c r="BG22" s="36">
        <f t="shared" si="8"/>
        <v>0</v>
      </c>
    </row>
    <row r="23" spans="1:59" x14ac:dyDescent="0.25">
      <c r="A23" s="4" t="s">
        <v>373</v>
      </c>
      <c r="C23" s="6">
        <v>3</v>
      </c>
      <c r="D23" s="6">
        <v>6</v>
      </c>
      <c r="F23" s="36">
        <f t="shared" si="4"/>
        <v>0</v>
      </c>
      <c r="G23" s="36">
        <f t="shared" si="4"/>
        <v>0</v>
      </c>
      <c r="H23" s="36">
        <f t="shared" si="4"/>
        <v>0</v>
      </c>
      <c r="I23" s="36">
        <f t="shared" si="4"/>
        <v>0</v>
      </c>
      <c r="J23" s="36">
        <f t="shared" si="4"/>
        <v>0</v>
      </c>
      <c r="K23" s="36">
        <f t="shared" si="4"/>
        <v>0</v>
      </c>
      <c r="L23" s="36">
        <f t="shared" si="4"/>
        <v>0</v>
      </c>
      <c r="M23" s="36">
        <f t="shared" si="4"/>
        <v>0</v>
      </c>
      <c r="N23" s="36">
        <f t="shared" si="4"/>
        <v>0</v>
      </c>
      <c r="O23" s="36">
        <f t="shared" si="4"/>
        <v>1</v>
      </c>
      <c r="P23" s="36">
        <f t="shared" si="5"/>
        <v>1</v>
      </c>
      <c r="Q23" s="36">
        <f t="shared" si="5"/>
        <v>1</v>
      </c>
      <c r="R23" s="36">
        <f t="shared" si="5"/>
        <v>1</v>
      </c>
      <c r="S23" s="36">
        <f t="shared" si="5"/>
        <v>0</v>
      </c>
      <c r="T23" s="36">
        <f t="shared" si="5"/>
        <v>0</v>
      </c>
      <c r="U23" s="36">
        <f t="shared" si="5"/>
        <v>0</v>
      </c>
      <c r="V23" s="36">
        <f t="shared" si="5"/>
        <v>0</v>
      </c>
      <c r="W23" s="36">
        <f t="shared" si="5"/>
        <v>0</v>
      </c>
      <c r="X23" s="36">
        <f t="shared" si="5"/>
        <v>0</v>
      </c>
      <c r="Y23" s="36">
        <f t="shared" si="5"/>
        <v>0</v>
      </c>
      <c r="Z23" s="36">
        <f t="shared" si="6"/>
        <v>0</v>
      </c>
      <c r="AA23" s="36">
        <f t="shared" si="6"/>
        <v>0</v>
      </c>
      <c r="AB23" s="36">
        <f t="shared" si="6"/>
        <v>0</v>
      </c>
      <c r="AC23" s="36">
        <f t="shared" si="6"/>
        <v>0</v>
      </c>
      <c r="AD23" s="36">
        <f t="shared" si="6"/>
        <v>0</v>
      </c>
      <c r="AE23" s="36">
        <f t="shared" si="6"/>
        <v>0</v>
      </c>
      <c r="AF23" s="36">
        <f t="shared" si="6"/>
        <v>0</v>
      </c>
      <c r="AG23" s="36">
        <f t="shared" si="6"/>
        <v>0</v>
      </c>
      <c r="AH23" s="36">
        <f t="shared" si="6"/>
        <v>0</v>
      </c>
      <c r="AI23" s="36">
        <f t="shared" si="6"/>
        <v>0</v>
      </c>
      <c r="AJ23" s="36">
        <f t="shared" si="7"/>
        <v>0</v>
      </c>
      <c r="AK23" s="36">
        <f t="shared" si="7"/>
        <v>0</v>
      </c>
      <c r="AL23" s="36">
        <f t="shared" si="7"/>
        <v>0</v>
      </c>
      <c r="AM23" s="36">
        <f t="shared" si="7"/>
        <v>0</v>
      </c>
      <c r="AN23" s="36">
        <f t="shared" si="7"/>
        <v>0</v>
      </c>
      <c r="AO23" s="36">
        <f t="shared" si="7"/>
        <v>0</v>
      </c>
      <c r="AP23" s="36">
        <f t="shared" si="7"/>
        <v>0</v>
      </c>
      <c r="AQ23" s="36">
        <f t="shared" si="7"/>
        <v>0</v>
      </c>
      <c r="AR23" s="36">
        <f t="shared" si="7"/>
        <v>0</v>
      </c>
      <c r="AS23" s="36">
        <f t="shared" si="7"/>
        <v>0</v>
      </c>
      <c r="AT23" s="36">
        <f t="shared" si="8"/>
        <v>0</v>
      </c>
      <c r="AU23" s="36">
        <f t="shared" si="8"/>
        <v>0</v>
      </c>
      <c r="AV23" s="36">
        <f t="shared" si="8"/>
        <v>0</v>
      </c>
      <c r="AW23" s="36">
        <f t="shared" si="8"/>
        <v>0</v>
      </c>
      <c r="AX23" s="36">
        <f t="shared" si="8"/>
        <v>0</v>
      </c>
      <c r="AY23" s="36">
        <f t="shared" si="8"/>
        <v>0</v>
      </c>
      <c r="AZ23" s="36">
        <f t="shared" si="8"/>
        <v>0</v>
      </c>
      <c r="BA23" s="36">
        <f t="shared" si="8"/>
        <v>0</v>
      </c>
      <c r="BB23" s="36">
        <f t="shared" si="8"/>
        <v>0</v>
      </c>
      <c r="BC23" s="36">
        <f t="shared" si="8"/>
        <v>0</v>
      </c>
      <c r="BD23" s="36">
        <f t="shared" si="8"/>
        <v>0</v>
      </c>
      <c r="BE23" s="36">
        <f t="shared" si="8"/>
        <v>0</v>
      </c>
      <c r="BF23" s="36">
        <f t="shared" si="8"/>
        <v>0</v>
      </c>
      <c r="BG23" s="36">
        <f t="shared" si="8"/>
        <v>0</v>
      </c>
    </row>
    <row r="24" spans="1:59" x14ac:dyDescent="0.25">
      <c r="A24" s="4" t="s">
        <v>374</v>
      </c>
      <c r="C24" s="6">
        <v>4</v>
      </c>
      <c r="D24" s="6">
        <v>6</v>
      </c>
      <c r="F24" s="36">
        <f t="shared" si="4"/>
        <v>0</v>
      </c>
      <c r="G24" s="36">
        <f t="shared" si="4"/>
        <v>0</v>
      </c>
      <c r="H24" s="36">
        <f t="shared" si="4"/>
        <v>0</v>
      </c>
      <c r="I24" s="36">
        <f t="shared" si="4"/>
        <v>0</v>
      </c>
      <c r="J24" s="36">
        <f t="shared" si="4"/>
        <v>0</v>
      </c>
      <c r="K24" s="36">
        <f t="shared" si="4"/>
        <v>0</v>
      </c>
      <c r="L24" s="36">
        <f t="shared" si="4"/>
        <v>0</v>
      </c>
      <c r="M24" s="36">
        <f t="shared" si="4"/>
        <v>0</v>
      </c>
      <c r="N24" s="36">
        <f t="shared" si="4"/>
        <v>0</v>
      </c>
      <c r="O24" s="36">
        <f t="shared" si="4"/>
        <v>0</v>
      </c>
      <c r="P24" s="36">
        <f t="shared" si="5"/>
        <v>1</v>
      </c>
      <c r="Q24" s="36">
        <f t="shared" si="5"/>
        <v>1</v>
      </c>
      <c r="R24" s="36">
        <f t="shared" si="5"/>
        <v>1</v>
      </c>
      <c r="S24" s="36">
        <f t="shared" si="5"/>
        <v>0</v>
      </c>
      <c r="T24" s="36">
        <f t="shared" si="5"/>
        <v>0</v>
      </c>
      <c r="U24" s="36">
        <f t="shared" si="5"/>
        <v>0</v>
      </c>
      <c r="V24" s="36">
        <f t="shared" si="5"/>
        <v>0</v>
      </c>
      <c r="W24" s="36">
        <f t="shared" si="5"/>
        <v>0</v>
      </c>
      <c r="X24" s="36">
        <f t="shared" si="5"/>
        <v>0</v>
      </c>
      <c r="Y24" s="36">
        <f t="shared" si="5"/>
        <v>0</v>
      </c>
      <c r="Z24" s="36">
        <f t="shared" si="6"/>
        <v>0</v>
      </c>
      <c r="AA24" s="36">
        <f t="shared" si="6"/>
        <v>0</v>
      </c>
      <c r="AB24" s="36">
        <f t="shared" si="6"/>
        <v>0</v>
      </c>
      <c r="AC24" s="36">
        <f t="shared" si="6"/>
        <v>0</v>
      </c>
      <c r="AD24" s="36">
        <f t="shared" si="6"/>
        <v>0</v>
      </c>
      <c r="AE24" s="36">
        <f t="shared" si="6"/>
        <v>0</v>
      </c>
      <c r="AF24" s="36">
        <f t="shared" si="6"/>
        <v>0</v>
      </c>
      <c r="AG24" s="36">
        <f t="shared" si="6"/>
        <v>0</v>
      </c>
      <c r="AH24" s="36">
        <f t="shared" si="6"/>
        <v>0</v>
      </c>
      <c r="AI24" s="36">
        <f t="shared" si="6"/>
        <v>0</v>
      </c>
      <c r="AJ24" s="36">
        <f t="shared" si="7"/>
        <v>0</v>
      </c>
      <c r="AK24" s="36">
        <f t="shared" si="7"/>
        <v>0</v>
      </c>
      <c r="AL24" s="36">
        <f t="shared" si="7"/>
        <v>0</v>
      </c>
      <c r="AM24" s="36">
        <f t="shared" si="7"/>
        <v>0</v>
      </c>
      <c r="AN24" s="36">
        <f t="shared" si="7"/>
        <v>0</v>
      </c>
      <c r="AO24" s="36">
        <f t="shared" si="7"/>
        <v>0</v>
      </c>
      <c r="AP24" s="36">
        <f t="shared" si="7"/>
        <v>0</v>
      </c>
      <c r="AQ24" s="36">
        <f t="shared" si="7"/>
        <v>0</v>
      </c>
      <c r="AR24" s="36">
        <f t="shared" si="7"/>
        <v>0</v>
      </c>
      <c r="AS24" s="36">
        <f t="shared" si="7"/>
        <v>0</v>
      </c>
      <c r="AT24" s="36">
        <f t="shared" si="8"/>
        <v>0</v>
      </c>
      <c r="AU24" s="36">
        <f t="shared" si="8"/>
        <v>0</v>
      </c>
      <c r="AV24" s="36">
        <f t="shared" si="8"/>
        <v>0</v>
      </c>
      <c r="AW24" s="36">
        <f t="shared" si="8"/>
        <v>0</v>
      </c>
      <c r="AX24" s="36">
        <f t="shared" si="8"/>
        <v>0</v>
      </c>
      <c r="AY24" s="36">
        <f t="shared" si="8"/>
        <v>0</v>
      </c>
      <c r="AZ24" s="36">
        <f t="shared" si="8"/>
        <v>0</v>
      </c>
      <c r="BA24" s="36">
        <f t="shared" si="8"/>
        <v>0</v>
      </c>
      <c r="BB24" s="36">
        <f t="shared" si="8"/>
        <v>0</v>
      </c>
      <c r="BC24" s="36">
        <f t="shared" si="8"/>
        <v>0</v>
      </c>
      <c r="BD24" s="36">
        <f t="shared" si="8"/>
        <v>0</v>
      </c>
      <c r="BE24" s="36">
        <f t="shared" si="8"/>
        <v>0</v>
      </c>
      <c r="BF24" s="36">
        <f t="shared" si="8"/>
        <v>0</v>
      </c>
      <c r="BG24" s="36">
        <f t="shared" si="8"/>
        <v>0</v>
      </c>
    </row>
    <row r="25" spans="1:59" x14ac:dyDescent="0.25">
      <c r="A25" s="4" t="s">
        <v>375</v>
      </c>
      <c r="C25" s="6">
        <v>4</v>
      </c>
      <c r="D25" s="6">
        <v>6</v>
      </c>
      <c r="F25" s="36">
        <f t="shared" si="4"/>
        <v>0</v>
      </c>
      <c r="G25" s="36">
        <f t="shared" si="4"/>
        <v>0</v>
      </c>
      <c r="H25" s="36">
        <f t="shared" si="4"/>
        <v>0</v>
      </c>
      <c r="I25" s="36">
        <f t="shared" si="4"/>
        <v>0</v>
      </c>
      <c r="J25" s="36">
        <f t="shared" si="4"/>
        <v>0</v>
      </c>
      <c r="K25" s="36">
        <f t="shared" si="4"/>
        <v>0</v>
      </c>
      <c r="L25" s="36">
        <f t="shared" si="4"/>
        <v>0</v>
      </c>
      <c r="M25" s="36">
        <f t="shared" si="4"/>
        <v>0</v>
      </c>
      <c r="N25" s="36">
        <f t="shared" si="4"/>
        <v>0</v>
      </c>
      <c r="O25" s="36">
        <f t="shared" si="4"/>
        <v>0</v>
      </c>
      <c r="P25" s="36">
        <f t="shared" si="5"/>
        <v>1</v>
      </c>
      <c r="Q25" s="36">
        <f t="shared" si="5"/>
        <v>1</v>
      </c>
      <c r="R25" s="36">
        <f t="shared" si="5"/>
        <v>1</v>
      </c>
      <c r="S25" s="36">
        <f t="shared" si="5"/>
        <v>0</v>
      </c>
      <c r="T25" s="36">
        <f t="shared" si="5"/>
        <v>0</v>
      </c>
      <c r="U25" s="36">
        <f t="shared" si="5"/>
        <v>0</v>
      </c>
      <c r="V25" s="36">
        <f t="shared" si="5"/>
        <v>0</v>
      </c>
      <c r="W25" s="36">
        <f t="shared" si="5"/>
        <v>0</v>
      </c>
      <c r="X25" s="36">
        <f t="shared" si="5"/>
        <v>0</v>
      </c>
      <c r="Y25" s="36">
        <f t="shared" si="5"/>
        <v>0</v>
      </c>
      <c r="Z25" s="36">
        <f t="shared" si="6"/>
        <v>0</v>
      </c>
      <c r="AA25" s="36">
        <f t="shared" si="6"/>
        <v>0</v>
      </c>
      <c r="AB25" s="36">
        <f t="shared" si="6"/>
        <v>0</v>
      </c>
      <c r="AC25" s="36">
        <f t="shared" si="6"/>
        <v>0</v>
      </c>
      <c r="AD25" s="36">
        <f t="shared" si="6"/>
        <v>0</v>
      </c>
      <c r="AE25" s="36">
        <f t="shared" si="6"/>
        <v>0</v>
      </c>
      <c r="AF25" s="36">
        <f t="shared" si="6"/>
        <v>0</v>
      </c>
      <c r="AG25" s="36">
        <f t="shared" si="6"/>
        <v>0</v>
      </c>
      <c r="AH25" s="36">
        <f t="shared" si="6"/>
        <v>0</v>
      </c>
      <c r="AI25" s="36">
        <f t="shared" si="6"/>
        <v>0</v>
      </c>
      <c r="AJ25" s="36">
        <f t="shared" si="7"/>
        <v>0</v>
      </c>
      <c r="AK25" s="36">
        <f t="shared" si="7"/>
        <v>0</v>
      </c>
      <c r="AL25" s="36">
        <f t="shared" si="7"/>
        <v>0</v>
      </c>
      <c r="AM25" s="36">
        <f t="shared" si="7"/>
        <v>0</v>
      </c>
      <c r="AN25" s="36">
        <f t="shared" si="7"/>
        <v>0</v>
      </c>
      <c r="AO25" s="36">
        <f t="shared" si="7"/>
        <v>0</v>
      </c>
      <c r="AP25" s="36">
        <f t="shared" si="7"/>
        <v>0</v>
      </c>
      <c r="AQ25" s="36">
        <f t="shared" si="7"/>
        <v>0</v>
      </c>
      <c r="AR25" s="36">
        <f t="shared" si="7"/>
        <v>0</v>
      </c>
      <c r="AS25" s="36">
        <f t="shared" si="7"/>
        <v>0</v>
      </c>
      <c r="AT25" s="36">
        <f t="shared" si="8"/>
        <v>0</v>
      </c>
      <c r="AU25" s="36">
        <f t="shared" si="8"/>
        <v>0</v>
      </c>
      <c r="AV25" s="36">
        <f t="shared" si="8"/>
        <v>0</v>
      </c>
      <c r="AW25" s="36">
        <f t="shared" si="8"/>
        <v>0</v>
      </c>
      <c r="AX25" s="36">
        <f t="shared" si="8"/>
        <v>0</v>
      </c>
      <c r="AY25" s="36">
        <f t="shared" si="8"/>
        <v>0</v>
      </c>
      <c r="AZ25" s="36">
        <f t="shared" si="8"/>
        <v>0</v>
      </c>
      <c r="BA25" s="36">
        <f t="shared" si="8"/>
        <v>0</v>
      </c>
      <c r="BB25" s="36">
        <f t="shared" si="8"/>
        <v>0</v>
      </c>
      <c r="BC25" s="36">
        <f t="shared" si="8"/>
        <v>0</v>
      </c>
      <c r="BD25" s="36">
        <f t="shared" si="8"/>
        <v>0</v>
      </c>
      <c r="BE25" s="36">
        <f t="shared" si="8"/>
        <v>0</v>
      </c>
      <c r="BF25" s="36">
        <f t="shared" si="8"/>
        <v>0</v>
      </c>
      <c r="BG25" s="36">
        <f t="shared" si="8"/>
        <v>0</v>
      </c>
    </row>
    <row r="26" spans="1:59" x14ac:dyDescent="0.25">
      <c r="A26" s="4" t="s">
        <v>376</v>
      </c>
      <c r="C26" s="6">
        <v>6</v>
      </c>
      <c r="D26" s="6">
        <v>6</v>
      </c>
      <c r="F26" s="36">
        <f t="shared" si="4"/>
        <v>0</v>
      </c>
      <c r="G26" s="36">
        <f t="shared" si="4"/>
        <v>0</v>
      </c>
      <c r="H26" s="36">
        <f t="shared" si="4"/>
        <v>0</v>
      </c>
      <c r="I26" s="36">
        <f t="shared" si="4"/>
        <v>0</v>
      </c>
      <c r="J26" s="36">
        <f t="shared" si="4"/>
        <v>0</v>
      </c>
      <c r="K26" s="36">
        <f t="shared" si="4"/>
        <v>0</v>
      </c>
      <c r="L26" s="36">
        <f t="shared" si="4"/>
        <v>0</v>
      </c>
      <c r="M26" s="36">
        <f t="shared" si="4"/>
        <v>0</v>
      </c>
      <c r="N26" s="36">
        <f t="shared" si="4"/>
        <v>0</v>
      </c>
      <c r="O26" s="36">
        <f t="shared" si="4"/>
        <v>0</v>
      </c>
      <c r="P26" s="36">
        <f t="shared" si="5"/>
        <v>0</v>
      </c>
      <c r="Q26" s="36">
        <f t="shared" si="5"/>
        <v>0</v>
      </c>
      <c r="R26" s="36">
        <f t="shared" si="5"/>
        <v>1</v>
      </c>
      <c r="S26" s="36">
        <f t="shared" si="5"/>
        <v>0</v>
      </c>
      <c r="T26" s="36">
        <f t="shared" si="5"/>
        <v>0</v>
      </c>
      <c r="U26" s="36">
        <f t="shared" si="5"/>
        <v>0</v>
      </c>
      <c r="V26" s="36">
        <f t="shared" si="5"/>
        <v>0</v>
      </c>
      <c r="W26" s="36">
        <f t="shared" si="5"/>
        <v>0</v>
      </c>
      <c r="X26" s="36">
        <f t="shared" si="5"/>
        <v>0</v>
      </c>
      <c r="Y26" s="36">
        <f t="shared" si="5"/>
        <v>0</v>
      </c>
      <c r="Z26" s="36">
        <f t="shared" si="6"/>
        <v>0</v>
      </c>
      <c r="AA26" s="36">
        <f t="shared" si="6"/>
        <v>0</v>
      </c>
      <c r="AB26" s="36">
        <f t="shared" si="6"/>
        <v>0</v>
      </c>
      <c r="AC26" s="36">
        <f t="shared" si="6"/>
        <v>0</v>
      </c>
      <c r="AD26" s="36">
        <f t="shared" si="6"/>
        <v>0</v>
      </c>
      <c r="AE26" s="36">
        <f t="shared" si="6"/>
        <v>0</v>
      </c>
      <c r="AF26" s="36">
        <f t="shared" si="6"/>
        <v>0</v>
      </c>
      <c r="AG26" s="36">
        <f t="shared" si="6"/>
        <v>0</v>
      </c>
      <c r="AH26" s="36">
        <f t="shared" si="6"/>
        <v>0</v>
      </c>
      <c r="AI26" s="36">
        <f t="shared" si="6"/>
        <v>0</v>
      </c>
      <c r="AJ26" s="36">
        <f t="shared" si="7"/>
        <v>0</v>
      </c>
      <c r="AK26" s="36">
        <f t="shared" si="7"/>
        <v>0</v>
      </c>
      <c r="AL26" s="36">
        <f t="shared" si="7"/>
        <v>0</v>
      </c>
      <c r="AM26" s="36">
        <f t="shared" si="7"/>
        <v>0</v>
      </c>
      <c r="AN26" s="36">
        <f t="shared" si="7"/>
        <v>0</v>
      </c>
      <c r="AO26" s="36">
        <f t="shared" si="7"/>
        <v>0</v>
      </c>
      <c r="AP26" s="36">
        <f t="shared" si="7"/>
        <v>0</v>
      </c>
      <c r="AQ26" s="36">
        <f t="shared" si="7"/>
        <v>0</v>
      </c>
      <c r="AR26" s="36">
        <f t="shared" si="7"/>
        <v>0</v>
      </c>
      <c r="AS26" s="36">
        <f t="shared" si="7"/>
        <v>0</v>
      </c>
      <c r="AT26" s="36">
        <f t="shared" si="8"/>
        <v>0</v>
      </c>
      <c r="AU26" s="36">
        <f t="shared" si="8"/>
        <v>0</v>
      </c>
      <c r="AV26" s="36">
        <f t="shared" si="8"/>
        <v>0</v>
      </c>
      <c r="AW26" s="36">
        <f t="shared" si="8"/>
        <v>0</v>
      </c>
      <c r="AX26" s="36">
        <f t="shared" si="8"/>
        <v>0</v>
      </c>
      <c r="AY26" s="36">
        <f t="shared" si="8"/>
        <v>0</v>
      </c>
      <c r="AZ26" s="36">
        <f t="shared" si="8"/>
        <v>0</v>
      </c>
      <c r="BA26" s="36">
        <f t="shared" si="8"/>
        <v>0</v>
      </c>
      <c r="BB26" s="36">
        <f t="shared" si="8"/>
        <v>0</v>
      </c>
      <c r="BC26" s="36">
        <f t="shared" si="8"/>
        <v>0</v>
      </c>
      <c r="BD26" s="36">
        <f t="shared" si="8"/>
        <v>0</v>
      </c>
      <c r="BE26" s="36">
        <f t="shared" si="8"/>
        <v>0</v>
      </c>
      <c r="BF26" s="36">
        <f t="shared" si="8"/>
        <v>0</v>
      </c>
      <c r="BG26" s="36">
        <f t="shared" si="8"/>
        <v>0</v>
      </c>
    </row>
    <row r="28" spans="1:59" ht="13" x14ac:dyDescent="0.3">
      <c r="A28" s="18" t="s">
        <v>377</v>
      </c>
      <c r="F28" s="2" t="s">
        <v>378</v>
      </c>
    </row>
    <row r="29" spans="1:59" ht="13" x14ac:dyDescent="0.3">
      <c r="A29" s="5" t="s">
        <v>379</v>
      </c>
    </row>
    <row r="30" spans="1:59" x14ac:dyDescent="0.25">
      <c r="A30" s="4" t="s">
        <v>380</v>
      </c>
      <c r="B30" s="26">
        <f>'Hard Costs'!$G$62</f>
        <v>61200</v>
      </c>
      <c r="C30" s="6">
        <v>2</v>
      </c>
      <c r="D30" s="6">
        <v>4</v>
      </c>
      <c r="F30" s="35">
        <f t="shared" ref="F30:O38" si="9">IF(AND(F$12-$B$7&gt;=$C30,F$12-$B$7&lt;=$D30),$B30/($D30-$C30+1),0)</f>
        <v>0</v>
      </c>
      <c r="G30" s="35">
        <f t="shared" si="9"/>
        <v>0</v>
      </c>
      <c r="H30" s="35">
        <f t="shared" si="9"/>
        <v>0</v>
      </c>
      <c r="I30" s="35">
        <f t="shared" si="9"/>
        <v>0</v>
      </c>
      <c r="J30" s="35">
        <f t="shared" si="9"/>
        <v>0</v>
      </c>
      <c r="K30" s="35">
        <f t="shared" si="9"/>
        <v>0</v>
      </c>
      <c r="L30" s="35">
        <f t="shared" si="9"/>
        <v>0</v>
      </c>
      <c r="M30" s="35">
        <f t="shared" si="9"/>
        <v>0</v>
      </c>
      <c r="N30" s="35">
        <f t="shared" si="9"/>
        <v>0</v>
      </c>
      <c r="O30" s="35">
        <f t="shared" si="9"/>
        <v>0</v>
      </c>
      <c r="P30" s="35">
        <f t="shared" ref="P30:Y38" si="10">IF(AND(P$12-$B$7&gt;=$C30,P$12-$B$7&lt;=$D30),$B30/($D30-$C30+1),0)</f>
        <v>0</v>
      </c>
      <c r="Q30" s="35">
        <f t="shared" si="10"/>
        <v>0</v>
      </c>
      <c r="R30" s="35">
        <f t="shared" si="10"/>
        <v>0</v>
      </c>
      <c r="S30" s="35">
        <f t="shared" si="10"/>
        <v>0</v>
      </c>
      <c r="T30" s="35">
        <f t="shared" si="10"/>
        <v>20400</v>
      </c>
      <c r="U30" s="35">
        <f t="shared" si="10"/>
        <v>20400</v>
      </c>
      <c r="V30" s="35">
        <f t="shared" si="10"/>
        <v>20400</v>
      </c>
      <c r="W30" s="35">
        <f t="shared" si="10"/>
        <v>0</v>
      </c>
      <c r="X30" s="35">
        <f t="shared" si="10"/>
        <v>0</v>
      </c>
      <c r="Y30" s="35">
        <f t="shared" si="10"/>
        <v>0</v>
      </c>
      <c r="Z30" s="35">
        <f t="shared" ref="Z30:AI38" si="11">IF(AND(Z$12-$B$7&gt;=$C30,Z$12-$B$7&lt;=$D30),$B30/($D30-$C30+1),0)</f>
        <v>0</v>
      </c>
      <c r="AA30" s="35">
        <f t="shared" si="11"/>
        <v>0</v>
      </c>
      <c r="AB30" s="35">
        <f t="shared" si="11"/>
        <v>0</v>
      </c>
      <c r="AC30" s="35">
        <f t="shared" si="11"/>
        <v>0</v>
      </c>
      <c r="AD30" s="35">
        <f t="shared" si="11"/>
        <v>0</v>
      </c>
      <c r="AE30" s="35">
        <f t="shared" si="11"/>
        <v>0</v>
      </c>
      <c r="AF30" s="35">
        <f t="shared" si="11"/>
        <v>0</v>
      </c>
      <c r="AG30" s="35">
        <f t="shared" si="11"/>
        <v>0</v>
      </c>
      <c r="AH30" s="35">
        <f t="shared" si="11"/>
        <v>0</v>
      </c>
      <c r="AI30" s="35">
        <f t="shared" si="11"/>
        <v>0</v>
      </c>
      <c r="AJ30" s="35">
        <f t="shared" ref="AJ30:AS38" si="12">IF(AND(AJ$12-$B$7&gt;=$C30,AJ$12-$B$7&lt;=$D30),$B30/($D30-$C30+1),0)</f>
        <v>0</v>
      </c>
      <c r="AK30" s="35">
        <f t="shared" si="12"/>
        <v>0</v>
      </c>
      <c r="AL30" s="35">
        <f t="shared" si="12"/>
        <v>0</v>
      </c>
      <c r="AM30" s="35">
        <f t="shared" si="12"/>
        <v>0</v>
      </c>
      <c r="AN30" s="35">
        <f t="shared" si="12"/>
        <v>0</v>
      </c>
      <c r="AO30" s="35">
        <f t="shared" si="12"/>
        <v>0</v>
      </c>
      <c r="AP30" s="35">
        <f t="shared" si="12"/>
        <v>0</v>
      </c>
      <c r="AQ30" s="35">
        <f t="shared" si="12"/>
        <v>0</v>
      </c>
      <c r="AR30" s="35">
        <f t="shared" si="12"/>
        <v>0</v>
      </c>
      <c r="AS30" s="35">
        <f t="shared" si="12"/>
        <v>0</v>
      </c>
      <c r="AT30" s="35">
        <f t="shared" ref="AT30:BG38" si="13">IF(AND(AT$12-$B$7&gt;=$C30,AT$12-$B$7&lt;=$D30),$B30/($D30-$C30+1),0)</f>
        <v>0</v>
      </c>
      <c r="AU30" s="35">
        <f t="shared" si="13"/>
        <v>0</v>
      </c>
      <c r="AV30" s="35">
        <f t="shared" si="13"/>
        <v>0</v>
      </c>
      <c r="AW30" s="35">
        <f t="shared" si="13"/>
        <v>0</v>
      </c>
      <c r="AX30" s="35">
        <f t="shared" si="13"/>
        <v>0</v>
      </c>
      <c r="AY30" s="35">
        <f t="shared" si="13"/>
        <v>0</v>
      </c>
      <c r="AZ30" s="35">
        <f t="shared" si="13"/>
        <v>0</v>
      </c>
      <c r="BA30" s="35">
        <f t="shared" si="13"/>
        <v>0</v>
      </c>
      <c r="BB30" s="35">
        <f t="shared" si="13"/>
        <v>0</v>
      </c>
      <c r="BC30" s="35">
        <f t="shared" si="13"/>
        <v>0</v>
      </c>
      <c r="BD30" s="35">
        <f t="shared" si="13"/>
        <v>0</v>
      </c>
      <c r="BE30" s="35">
        <f t="shared" si="13"/>
        <v>0</v>
      </c>
      <c r="BF30" s="35">
        <f t="shared" si="13"/>
        <v>0</v>
      </c>
      <c r="BG30" s="35">
        <f t="shared" si="13"/>
        <v>0</v>
      </c>
    </row>
    <row r="31" spans="1:59" x14ac:dyDescent="0.25">
      <c r="A31" s="4" t="s">
        <v>381</v>
      </c>
      <c r="B31" s="26">
        <f>'Hard Costs'!$G$63</f>
        <v>70000</v>
      </c>
      <c r="C31" s="6">
        <v>2</v>
      </c>
      <c r="D31" s="6">
        <v>4</v>
      </c>
      <c r="F31" s="35">
        <f t="shared" si="9"/>
        <v>0</v>
      </c>
      <c r="G31" s="35">
        <f t="shared" si="9"/>
        <v>0</v>
      </c>
      <c r="H31" s="35">
        <f t="shared" si="9"/>
        <v>0</v>
      </c>
      <c r="I31" s="35">
        <f t="shared" si="9"/>
        <v>0</v>
      </c>
      <c r="J31" s="35">
        <f t="shared" si="9"/>
        <v>0</v>
      </c>
      <c r="K31" s="35">
        <f t="shared" si="9"/>
        <v>0</v>
      </c>
      <c r="L31" s="35">
        <f t="shared" si="9"/>
        <v>0</v>
      </c>
      <c r="M31" s="35">
        <f t="shared" si="9"/>
        <v>0</v>
      </c>
      <c r="N31" s="35">
        <f t="shared" si="9"/>
        <v>0</v>
      </c>
      <c r="O31" s="35">
        <f t="shared" si="9"/>
        <v>0</v>
      </c>
      <c r="P31" s="35">
        <f t="shared" si="10"/>
        <v>0</v>
      </c>
      <c r="Q31" s="35">
        <f t="shared" si="10"/>
        <v>0</v>
      </c>
      <c r="R31" s="35">
        <f t="shared" si="10"/>
        <v>0</v>
      </c>
      <c r="S31" s="35">
        <f t="shared" si="10"/>
        <v>0</v>
      </c>
      <c r="T31" s="35">
        <f t="shared" si="10"/>
        <v>23333.333333333332</v>
      </c>
      <c r="U31" s="35">
        <f t="shared" si="10"/>
        <v>23333.333333333332</v>
      </c>
      <c r="V31" s="35">
        <f t="shared" si="10"/>
        <v>23333.333333333332</v>
      </c>
      <c r="W31" s="35">
        <f t="shared" si="10"/>
        <v>0</v>
      </c>
      <c r="X31" s="35">
        <f t="shared" si="10"/>
        <v>0</v>
      </c>
      <c r="Y31" s="35">
        <f t="shared" si="10"/>
        <v>0</v>
      </c>
      <c r="Z31" s="35">
        <f t="shared" si="11"/>
        <v>0</v>
      </c>
      <c r="AA31" s="35">
        <f t="shared" si="11"/>
        <v>0</v>
      </c>
      <c r="AB31" s="35">
        <f t="shared" si="11"/>
        <v>0</v>
      </c>
      <c r="AC31" s="35">
        <f t="shared" si="11"/>
        <v>0</v>
      </c>
      <c r="AD31" s="35">
        <f t="shared" si="11"/>
        <v>0</v>
      </c>
      <c r="AE31" s="35">
        <f t="shared" si="11"/>
        <v>0</v>
      </c>
      <c r="AF31" s="35">
        <f t="shared" si="11"/>
        <v>0</v>
      </c>
      <c r="AG31" s="35">
        <f t="shared" si="11"/>
        <v>0</v>
      </c>
      <c r="AH31" s="35">
        <f t="shared" si="11"/>
        <v>0</v>
      </c>
      <c r="AI31" s="35">
        <f t="shared" si="11"/>
        <v>0</v>
      </c>
      <c r="AJ31" s="35">
        <f t="shared" si="12"/>
        <v>0</v>
      </c>
      <c r="AK31" s="35">
        <f t="shared" si="12"/>
        <v>0</v>
      </c>
      <c r="AL31" s="35">
        <f t="shared" si="12"/>
        <v>0</v>
      </c>
      <c r="AM31" s="35">
        <f t="shared" si="12"/>
        <v>0</v>
      </c>
      <c r="AN31" s="35">
        <f t="shared" si="12"/>
        <v>0</v>
      </c>
      <c r="AO31" s="35">
        <f t="shared" si="12"/>
        <v>0</v>
      </c>
      <c r="AP31" s="35">
        <f t="shared" si="12"/>
        <v>0</v>
      </c>
      <c r="AQ31" s="35">
        <f t="shared" si="12"/>
        <v>0</v>
      </c>
      <c r="AR31" s="35">
        <f t="shared" si="12"/>
        <v>0</v>
      </c>
      <c r="AS31" s="35">
        <f t="shared" si="12"/>
        <v>0</v>
      </c>
      <c r="AT31" s="35">
        <f t="shared" si="13"/>
        <v>0</v>
      </c>
      <c r="AU31" s="35">
        <f t="shared" si="13"/>
        <v>0</v>
      </c>
      <c r="AV31" s="35">
        <f t="shared" si="13"/>
        <v>0</v>
      </c>
      <c r="AW31" s="35">
        <f t="shared" si="13"/>
        <v>0</v>
      </c>
      <c r="AX31" s="35">
        <f t="shared" si="13"/>
        <v>0</v>
      </c>
      <c r="AY31" s="35">
        <f t="shared" si="13"/>
        <v>0</v>
      </c>
      <c r="AZ31" s="35">
        <f t="shared" si="13"/>
        <v>0</v>
      </c>
      <c r="BA31" s="35">
        <f t="shared" si="13"/>
        <v>0</v>
      </c>
      <c r="BB31" s="35">
        <f t="shared" si="13"/>
        <v>0</v>
      </c>
      <c r="BC31" s="35">
        <f t="shared" si="13"/>
        <v>0</v>
      </c>
      <c r="BD31" s="35">
        <f t="shared" si="13"/>
        <v>0</v>
      </c>
      <c r="BE31" s="35">
        <f t="shared" si="13"/>
        <v>0</v>
      </c>
      <c r="BF31" s="35">
        <f t="shared" si="13"/>
        <v>0</v>
      </c>
      <c r="BG31" s="35">
        <f t="shared" si="13"/>
        <v>0</v>
      </c>
    </row>
    <row r="32" spans="1:59" x14ac:dyDescent="0.25">
      <c r="A32" s="4" t="s">
        <v>382</v>
      </c>
      <c r="B32" s="26">
        <f>'Hard Costs'!$G$64</f>
        <v>234000</v>
      </c>
      <c r="C32" s="6">
        <v>2</v>
      </c>
      <c r="D32" s="6">
        <v>4</v>
      </c>
      <c r="F32" s="35">
        <f t="shared" si="9"/>
        <v>0</v>
      </c>
      <c r="G32" s="35">
        <f t="shared" si="9"/>
        <v>0</v>
      </c>
      <c r="H32" s="35">
        <f t="shared" si="9"/>
        <v>0</v>
      </c>
      <c r="I32" s="35">
        <f t="shared" si="9"/>
        <v>0</v>
      </c>
      <c r="J32" s="35">
        <f t="shared" si="9"/>
        <v>0</v>
      </c>
      <c r="K32" s="35">
        <f t="shared" si="9"/>
        <v>0</v>
      </c>
      <c r="L32" s="35">
        <f t="shared" si="9"/>
        <v>0</v>
      </c>
      <c r="M32" s="35">
        <f t="shared" si="9"/>
        <v>0</v>
      </c>
      <c r="N32" s="35">
        <f t="shared" si="9"/>
        <v>0</v>
      </c>
      <c r="O32" s="35">
        <f t="shared" si="9"/>
        <v>0</v>
      </c>
      <c r="P32" s="35">
        <f t="shared" si="10"/>
        <v>0</v>
      </c>
      <c r="Q32" s="35">
        <f t="shared" si="10"/>
        <v>0</v>
      </c>
      <c r="R32" s="35">
        <f t="shared" si="10"/>
        <v>0</v>
      </c>
      <c r="S32" s="35">
        <f t="shared" si="10"/>
        <v>0</v>
      </c>
      <c r="T32" s="35">
        <f t="shared" si="10"/>
        <v>78000</v>
      </c>
      <c r="U32" s="35">
        <f t="shared" si="10"/>
        <v>78000</v>
      </c>
      <c r="V32" s="35">
        <f t="shared" si="10"/>
        <v>78000</v>
      </c>
      <c r="W32" s="35">
        <f t="shared" si="10"/>
        <v>0</v>
      </c>
      <c r="X32" s="35">
        <f t="shared" si="10"/>
        <v>0</v>
      </c>
      <c r="Y32" s="35">
        <f t="shared" si="10"/>
        <v>0</v>
      </c>
      <c r="Z32" s="35">
        <f t="shared" si="11"/>
        <v>0</v>
      </c>
      <c r="AA32" s="35">
        <f t="shared" si="11"/>
        <v>0</v>
      </c>
      <c r="AB32" s="35">
        <f t="shared" si="11"/>
        <v>0</v>
      </c>
      <c r="AC32" s="35">
        <f t="shared" si="11"/>
        <v>0</v>
      </c>
      <c r="AD32" s="35">
        <f t="shared" si="11"/>
        <v>0</v>
      </c>
      <c r="AE32" s="35">
        <f t="shared" si="11"/>
        <v>0</v>
      </c>
      <c r="AF32" s="35">
        <f t="shared" si="11"/>
        <v>0</v>
      </c>
      <c r="AG32" s="35">
        <f t="shared" si="11"/>
        <v>0</v>
      </c>
      <c r="AH32" s="35">
        <f t="shared" si="11"/>
        <v>0</v>
      </c>
      <c r="AI32" s="35">
        <f t="shared" si="11"/>
        <v>0</v>
      </c>
      <c r="AJ32" s="35">
        <f t="shared" si="12"/>
        <v>0</v>
      </c>
      <c r="AK32" s="35">
        <f t="shared" si="12"/>
        <v>0</v>
      </c>
      <c r="AL32" s="35">
        <f t="shared" si="12"/>
        <v>0</v>
      </c>
      <c r="AM32" s="35">
        <f t="shared" si="12"/>
        <v>0</v>
      </c>
      <c r="AN32" s="35">
        <f t="shared" si="12"/>
        <v>0</v>
      </c>
      <c r="AO32" s="35">
        <f t="shared" si="12"/>
        <v>0</v>
      </c>
      <c r="AP32" s="35">
        <f t="shared" si="12"/>
        <v>0</v>
      </c>
      <c r="AQ32" s="35">
        <f t="shared" si="12"/>
        <v>0</v>
      </c>
      <c r="AR32" s="35">
        <f t="shared" si="12"/>
        <v>0</v>
      </c>
      <c r="AS32" s="35">
        <f t="shared" si="12"/>
        <v>0</v>
      </c>
      <c r="AT32" s="35">
        <f t="shared" si="13"/>
        <v>0</v>
      </c>
      <c r="AU32" s="35">
        <f t="shared" si="13"/>
        <v>0</v>
      </c>
      <c r="AV32" s="35">
        <f t="shared" si="13"/>
        <v>0</v>
      </c>
      <c r="AW32" s="35">
        <f t="shared" si="13"/>
        <v>0</v>
      </c>
      <c r="AX32" s="35">
        <f t="shared" si="13"/>
        <v>0</v>
      </c>
      <c r="AY32" s="35">
        <f t="shared" si="13"/>
        <v>0</v>
      </c>
      <c r="AZ32" s="35">
        <f t="shared" si="13"/>
        <v>0</v>
      </c>
      <c r="BA32" s="35">
        <f t="shared" si="13"/>
        <v>0</v>
      </c>
      <c r="BB32" s="35">
        <f t="shared" si="13"/>
        <v>0</v>
      </c>
      <c r="BC32" s="35">
        <f t="shared" si="13"/>
        <v>0</v>
      </c>
      <c r="BD32" s="35">
        <f t="shared" si="13"/>
        <v>0</v>
      </c>
      <c r="BE32" s="35">
        <f t="shared" si="13"/>
        <v>0</v>
      </c>
      <c r="BF32" s="35">
        <f t="shared" si="13"/>
        <v>0</v>
      </c>
      <c r="BG32" s="35">
        <f t="shared" si="13"/>
        <v>0</v>
      </c>
    </row>
    <row r="33" spans="1:59" x14ac:dyDescent="0.25">
      <c r="A33" s="4" t="s">
        <v>383</v>
      </c>
      <c r="B33" s="26">
        <f>'Hard Costs'!$G$65</f>
        <v>101660</v>
      </c>
      <c r="C33" s="6">
        <v>4</v>
      </c>
      <c r="D33" s="6">
        <v>6</v>
      </c>
      <c r="F33" s="35">
        <f t="shared" si="9"/>
        <v>0</v>
      </c>
      <c r="G33" s="35">
        <f t="shared" si="9"/>
        <v>0</v>
      </c>
      <c r="H33" s="35">
        <f t="shared" si="9"/>
        <v>0</v>
      </c>
      <c r="I33" s="35">
        <f t="shared" si="9"/>
        <v>0</v>
      </c>
      <c r="J33" s="35">
        <f t="shared" si="9"/>
        <v>0</v>
      </c>
      <c r="K33" s="35">
        <f t="shared" si="9"/>
        <v>0</v>
      </c>
      <c r="L33" s="35">
        <f t="shared" si="9"/>
        <v>0</v>
      </c>
      <c r="M33" s="35">
        <f t="shared" si="9"/>
        <v>0</v>
      </c>
      <c r="N33" s="35">
        <f t="shared" si="9"/>
        <v>0</v>
      </c>
      <c r="O33" s="35">
        <f t="shared" si="9"/>
        <v>0</v>
      </c>
      <c r="P33" s="35">
        <f t="shared" si="10"/>
        <v>0</v>
      </c>
      <c r="Q33" s="35">
        <f t="shared" si="10"/>
        <v>0</v>
      </c>
      <c r="R33" s="35">
        <f t="shared" si="10"/>
        <v>0</v>
      </c>
      <c r="S33" s="35">
        <f t="shared" si="10"/>
        <v>0</v>
      </c>
      <c r="T33" s="35">
        <f t="shared" si="10"/>
        <v>0</v>
      </c>
      <c r="U33" s="35">
        <f t="shared" si="10"/>
        <v>0</v>
      </c>
      <c r="V33" s="35">
        <f t="shared" si="10"/>
        <v>33886.666666666664</v>
      </c>
      <c r="W33" s="35">
        <f t="shared" si="10"/>
        <v>33886.666666666664</v>
      </c>
      <c r="X33" s="35">
        <f t="shared" si="10"/>
        <v>33886.666666666664</v>
      </c>
      <c r="Y33" s="35">
        <f t="shared" si="10"/>
        <v>0</v>
      </c>
      <c r="Z33" s="35">
        <f t="shared" si="11"/>
        <v>0</v>
      </c>
      <c r="AA33" s="35">
        <f t="shared" si="11"/>
        <v>0</v>
      </c>
      <c r="AB33" s="35">
        <f t="shared" si="11"/>
        <v>0</v>
      </c>
      <c r="AC33" s="35">
        <f t="shared" si="11"/>
        <v>0</v>
      </c>
      <c r="AD33" s="35">
        <f t="shared" si="11"/>
        <v>0</v>
      </c>
      <c r="AE33" s="35">
        <f t="shared" si="11"/>
        <v>0</v>
      </c>
      <c r="AF33" s="35">
        <f t="shared" si="11"/>
        <v>0</v>
      </c>
      <c r="AG33" s="35">
        <f t="shared" si="11"/>
        <v>0</v>
      </c>
      <c r="AH33" s="35">
        <f t="shared" si="11"/>
        <v>0</v>
      </c>
      <c r="AI33" s="35">
        <f t="shared" si="11"/>
        <v>0</v>
      </c>
      <c r="AJ33" s="35">
        <f t="shared" si="12"/>
        <v>0</v>
      </c>
      <c r="AK33" s="35">
        <f t="shared" si="12"/>
        <v>0</v>
      </c>
      <c r="AL33" s="35">
        <f t="shared" si="12"/>
        <v>0</v>
      </c>
      <c r="AM33" s="35">
        <f t="shared" si="12"/>
        <v>0</v>
      </c>
      <c r="AN33" s="35">
        <f t="shared" si="12"/>
        <v>0</v>
      </c>
      <c r="AO33" s="35">
        <f t="shared" si="12"/>
        <v>0</v>
      </c>
      <c r="AP33" s="35">
        <f t="shared" si="12"/>
        <v>0</v>
      </c>
      <c r="AQ33" s="35">
        <f t="shared" si="12"/>
        <v>0</v>
      </c>
      <c r="AR33" s="35">
        <f t="shared" si="12"/>
        <v>0</v>
      </c>
      <c r="AS33" s="35">
        <f t="shared" si="12"/>
        <v>0</v>
      </c>
      <c r="AT33" s="35">
        <f t="shared" si="13"/>
        <v>0</v>
      </c>
      <c r="AU33" s="35">
        <f t="shared" si="13"/>
        <v>0</v>
      </c>
      <c r="AV33" s="35">
        <f t="shared" si="13"/>
        <v>0</v>
      </c>
      <c r="AW33" s="35">
        <f t="shared" si="13"/>
        <v>0</v>
      </c>
      <c r="AX33" s="35">
        <f t="shared" si="13"/>
        <v>0</v>
      </c>
      <c r="AY33" s="35">
        <f t="shared" si="13"/>
        <v>0</v>
      </c>
      <c r="AZ33" s="35">
        <f t="shared" si="13"/>
        <v>0</v>
      </c>
      <c r="BA33" s="35">
        <f t="shared" si="13"/>
        <v>0</v>
      </c>
      <c r="BB33" s="35">
        <f t="shared" si="13"/>
        <v>0</v>
      </c>
      <c r="BC33" s="35">
        <f t="shared" si="13"/>
        <v>0</v>
      </c>
      <c r="BD33" s="35">
        <f t="shared" si="13"/>
        <v>0</v>
      </c>
      <c r="BE33" s="35">
        <f t="shared" si="13"/>
        <v>0</v>
      </c>
      <c r="BF33" s="35">
        <f t="shared" si="13"/>
        <v>0</v>
      </c>
      <c r="BG33" s="35">
        <f t="shared" si="13"/>
        <v>0</v>
      </c>
    </row>
    <row r="34" spans="1:59" x14ac:dyDescent="0.25">
      <c r="A34" s="4" t="s">
        <v>384</v>
      </c>
      <c r="B34" s="26">
        <f>'Hard Costs'!$G$66</f>
        <v>55080</v>
      </c>
      <c r="C34" s="6">
        <v>5</v>
      </c>
      <c r="D34" s="6">
        <v>6</v>
      </c>
      <c r="F34" s="35">
        <f t="shared" si="9"/>
        <v>0</v>
      </c>
      <c r="G34" s="35">
        <f t="shared" si="9"/>
        <v>0</v>
      </c>
      <c r="H34" s="35">
        <f t="shared" si="9"/>
        <v>0</v>
      </c>
      <c r="I34" s="35">
        <f t="shared" si="9"/>
        <v>0</v>
      </c>
      <c r="J34" s="35">
        <f t="shared" si="9"/>
        <v>0</v>
      </c>
      <c r="K34" s="35">
        <f t="shared" si="9"/>
        <v>0</v>
      </c>
      <c r="L34" s="35">
        <f t="shared" si="9"/>
        <v>0</v>
      </c>
      <c r="M34" s="35">
        <f t="shared" si="9"/>
        <v>0</v>
      </c>
      <c r="N34" s="35">
        <f t="shared" si="9"/>
        <v>0</v>
      </c>
      <c r="O34" s="35">
        <f t="shared" si="9"/>
        <v>0</v>
      </c>
      <c r="P34" s="35">
        <f t="shared" si="10"/>
        <v>0</v>
      </c>
      <c r="Q34" s="35">
        <f t="shared" si="10"/>
        <v>0</v>
      </c>
      <c r="R34" s="35">
        <f t="shared" si="10"/>
        <v>0</v>
      </c>
      <c r="S34" s="35">
        <f t="shared" si="10"/>
        <v>0</v>
      </c>
      <c r="T34" s="35">
        <f t="shared" si="10"/>
        <v>0</v>
      </c>
      <c r="U34" s="35">
        <f t="shared" si="10"/>
        <v>0</v>
      </c>
      <c r="V34" s="35">
        <f t="shared" si="10"/>
        <v>0</v>
      </c>
      <c r="W34" s="35">
        <f t="shared" si="10"/>
        <v>27540</v>
      </c>
      <c r="X34" s="35">
        <f t="shared" si="10"/>
        <v>27540</v>
      </c>
      <c r="Y34" s="35">
        <f t="shared" si="10"/>
        <v>0</v>
      </c>
      <c r="Z34" s="35">
        <f t="shared" si="11"/>
        <v>0</v>
      </c>
      <c r="AA34" s="35">
        <f t="shared" si="11"/>
        <v>0</v>
      </c>
      <c r="AB34" s="35">
        <f t="shared" si="11"/>
        <v>0</v>
      </c>
      <c r="AC34" s="35">
        <f t="shared" si="11"/>
        <v>0</v>
      </c>
      <c r="AD34" s="35">
        <f t="shared" si="11"/>
        <v>0</v>
      </c>
      <c r="AE34" s="35">
        <f t="shared" si="11"/>
        <v>0</v>
      </c>
      <c r="AF34" s="35">
        <f t="shared" si="11"/>
        <v>0</v>
      </c>
      <c r="AG34" s="35">
        <f t="shared" si="11"/>
        <v>0</v>
      </c>
      <c r="AH34" s="35">
        <f t="shared" si="11"/>
        <v>0</v>
      </c>
      <c r="AI34" s="35">
        <f t="shared" si="11"/>
        <v>0</v>
      </c>
      <c r="AJ34" s="35">
        <f t="shared" si="12"/>
        <v>0</v>
      </c>
      <c r="AK34" s="35">
        <f t="shared" si="12"/>
        <v>0</v>
      </c>
      <c r="AL34" s="35">
        <f t="shared" si="12"/>
        <v>0</v>
      </c>
      <c r="AM34" s="35">
        <f t="shared" si="12"/>
        <v>0</v>
      </c>
      <c r="AN34" s="35">
        <f t="shared" si="12"/>
        <v>0</v>
      </c>
      <c r="AO34" s="35">
        <f t="shared" si="12"/>
        <v>0</v>
      </c>
      <c r="AP34" s="35">
        <f t="shared" si="12"/>
        <v>0</v>
      </c>
      <c r="AQ34" s="35">
        <f t="shared" si="12"/>
        <v>0</v>
      </c>
      <c r="AR34" s="35">
        <f t="shared" si="12"/>
        <v>0</v>
      </c>
      <c r="AS34" s="35">
        <f t="shared" si="12"/>
        <v>0</v>
      </c>
      <c r="AT34" s="35">
        <f t="shared" si="13"/>
        <v>0</v>
      </c>
      <c r="AU34" s="35">
        <f t="shared" si="13"/>
        <v>0</v>
      </c>
      <c r="AV34" s="35">
        <f t="shared" si="13"/>
        <v>0</v>
      </c>
      <c r="AW34" s="35">
        <f t="shared" si="13"/>
        <v>0</v>
      </c>
      <c r="AX34" s="35">
        <f t="shared" si="13"/>
        <v>0</v>
      </c>
      <c r="AY34" s="35">
        <f t="shared" si="13"/>
        <v>0</v>
      </c>
      <c r="AZ34" s="35">
        <f t="shared" si="13"/>
        <v>0</v>
      </c>
      <c r="BA34" s="35">
        <f t="shared" si="13"/>
        <v>0</v>
      </c>
      <c r="BB34" s="35">
        <f t="shared" si="13"/>
        <v>0</v>
      </c>
      <c r="BC34" s="35">
        <f t="shared" si="13"/>
        <v>0</v>
      </c>
      <c r="BD34" s="35">
        <f t="shared" si="13"/>
        <v>0</v>
      </c>
      <c r="BE34" s="35">
        <f t="shared" si="13"/>
        <v>0</v>
      </c>
      <c r="BF34" s="35">
        <f t="shared" si="13"/>
        <v>0</v>
      </c>
      <c r="BG34" s="35">
        <f t="shared" si="13"/>
        <v>0</v>
      </c>
    </row>
    <row r="35" spans="1:59" x14ac:dyDescent="0.25">
      <c r="A35" s="4" t="s">
        <v>385</v>
      </c>
      <c r="B35" s="26">
        <f>'Hard Costs'!$G$67</f>
        <v>0</v>
      </c>
      <c r="C35" s="6">
        <v>1</v>
      </c>
      <c r="D35" s="6">
        <v>2</v>
      </c>
      <c r="F35" s="35">
        <f t="shared" si="9"/>
        <v>0</v>
      </c>
      <c r="G35" s="35">
        <f t="shared" si="9"/>
        <v>0</v>
      </c>
      <c r="H35" s="35">
        <f t="shared" si="9"/>
        <v>0</v>
      </c>
      <c r="I35" s="35">
        <f t="shared" si="9"/>
        <v>0</v>
      </c>
      <c r="J35" s="35">
        <f t="shared" si="9"/>
        <v>0</v>
      </c>
      <c r="K35" s="35">
        <f t="shared" si="9"/>
        <v>0</v>
      </c>
      <c r="L35" s="35">
        <f t="shared" si="9"/>
        <v>0</v>
      </c>
      <c r="M35" s="35">
        <f t="shared" si="9"/>
        <v>0</v>
      </c>
      <c r="N35" s="35">
        <f t="shared" si="9"/>
        <v>0</v>
      </c>
      <c r="O35" s="35">
        <f t="shared" si="9"/>
        <v>0</v>
      </c>
      <c r="P35" s="35">
        <f t="shared" si="10"/>
        <v>0</v>
      </c>
      <c r="Q35" s="35">
        <f t="shared" si="10"/>
        <v>0</v>
      </c>
      <c r="R35" s="35">
        <f t="shared" si="10"/>
        <v>0</v>
      </c>
      <c r="S35" s="35">
        <f t="shared" si="10"/>
        <v>0</v>
      </c>
      <c r="T35" s="35">
        <f t="shared" si="10"/>
        <v>0</v>
      </c>
      <c r="U35" s="35">
        <f t="shared" si="10"/>
        <v>0</v>
      </c>
      <c r="V35" s="35">
        <f t="shared" si="10"/>
        <v>0</v>
      </c>
      <c r="W35" s="35">
        <f t="shared" si="10"/>
        <v>0</v>
      </c>
      <c r="X35" s="35">
        <f t="shared" si="10"/>
        <v>0</v>
      </c>
      <c r="Y35" s="35">
        <f t="shared" si="10"/>
        <v>0</v>
      </c>
      <c r="Z35" s="35">
        <f t="shared" si="11"/>
        <v>0</v>
      </c>
      <c r="AA35" s="35">
        <f t="shared" si="11"/>
        <v>0</v>
      </c>
      <c r="AB35" s="35">
        <f t="shared" si="11"/>
        <v>0</v>
      </c>
      <c r="AC35" s="35">
        <f t="shared" si="11"/>
        <v>0</v>
      </c>
      <c r="AD35" s="35">
        <f t="shared" si="11"/>
        <v>0</v>
      </c>
      <c r="AE35" s="35">
        <f t="shared" si="11"/>
        <v>0</v>
      </c>
      <c r="AF35" s="35">
        <f t="shared" si="11"/>
        <v>0</v>
      </c>
      <c r="AG35" s="35">
        <f t="shared" si="11"/>
        <v>0</v>
      </c>
      <c r="AH35" s="35">
        <f t="shared" si="11"/>
        <v>0</v>
      </c>
      <c r="AI35" s="35">
        <f t="shared" si="11"/>
        <v>0</v>
      </c>
      <c r="AJ35" s="35">
        <f t="shared" si="12"/>
        <v>0</v>
      </c>
      <c r="AK35" s="35">
        <f t="shared" si="12"/>
        <v>0</v>
      </c>
      <c r="AL35" s="35">
        <f t="shared" si="12"/>
        <v>0</v>
      </c>
      <c r="AM35" s="35">
        <f t="shared" si="12"/>
        <v>0</v>
      </c>
      <c r="AN35" s="35">
        <f t="shared" si="12"/>
        <v>0</v>
      </c>
      <c r="AO35" s="35">
        <f t="shared" si="12"/>
        <v>0</v>
      </c>
      <c r="AP35" s="35">
        <f t="shared" si="12"/>
        <v>0</v>
      </c>
      <c r="AQ35" s="35">
        <f t="shared" si="12"/>
        <v>0</v>
      </c>
      <c r="AR35" s="35">
        <f t="shared" si="12"/>
        <v>0</v>
      </c>
      <c r="AS35" s="35">
        <f t="shared" si="12"/>
        <v>0</v>
      </c>
      <c r="AT35" s="35">
        <f t="shared" si="13"/>
        <v>0</v>
      </c>
      <c r="AU35" s="35">
        <f t="shared" si="13"/>
        <v>0</v>
      </c>
      <c r="AV35" s="35">
        <f t="shared" si="13"/>
        <v>0</v>
      </c>
      <c r="AW35" s="35">
        <f t="shared" si="13"/>
        <v>0</v>
      </c>
      <c r="AX35" s="35">
        <f t="shared" si="13"/>
        <v>0</v>
      </c>
      <c r="AY35" s="35">
        <f t="shared" si="13"/>
        <v>0</v>
      </c>
      <c r="AZ35" s="35">
        <f t="shared" si="13"/>
        <v>0</v>
      </c>
      <c r="BA35" s="35">
        <f t="shared" si="13"/>
        <v>0</v>
      </c>
      <c r="BB35" s="35">
        <f t="shared" si="13"/>
        <v>0</v>
      </c>
      <c r="BC35" s="35">
        <f t="shared" si="13"/>
        <v>0</v>
      </c>
      <c r="BD35" s="35">
        <f t="shared" si="13"/>
        <v>0</v>
      </c>
      <c r="BE35" s="35">
        <f t="shared" si="13"/>
        <v>0</v>
      </c>
      <c r="BF35" s="35">
        <f t="shared" si="13"/>
        <v>0</v>
      </c>
      <c r="BG35" s="35">
        <f t="shared" si="13"/>
        <v>0</v>
      </c>
    </row>
    <row r="36" spans="1:59" x14ac:dyDescent="0.25">
      <c r="A36" s="4" t="s">
        <v>386</v>
      </c>
      <c r="B36" s="26">
        <f>'Hard Costs'!$G$68</f>
        <v>180829.64705882355</v>
      </c>
      <c r="C36" s="6">
        <v>6</v>
      </c>
      <c r="D36" s="6">
        <v>11</v>
      </c>
      <c r="F36" s="35">
        <f t="shared" si="9"/>
        <v>0</v>
      </c>
      <c r="G36" s="35">
        <f t="shared" si="9"/>
        <v>0</v>
      </c>
      <c r="H36" s="35">
        <f t="shared" si="9"/>
        <v>0</v>
      </c>
      <c r="I36" s="35">
        <f t="shared" si="9"/>
        <v>0</v>
      </c>
      <c r="J36" s="35">
        <f t="shared" si="9"/>
        <v>0</v>
      </c>
      <c r="K36" s="35">
        <f t="shared" si="9"/>
        <v>0</v>
      </c>
      <c r="L36" s="35">
        <f t="shared" si="9"/>
        <v>0</v>
      </c>
      <c r="M36" s="35">
        <f t="shared" si="9"/>
        <v>0</v>
      </c>
      <c r="N36" s="35">
        <f t="shared" si="9"/>
        <v>0</v>
      </c>
      <c r="O36" s="35">
        <f t="shared" si="9"/>
        <v>0</v>
      </c>
      <c r="P36" s="35">
        <f t="shared" si="10"/>
        <v>0</v>
      </c>
      <c r="Q36" s="35">
        <f t="shared" si="10"/>
        <v>0</v>
      </c>
      <c r="R36" s="35">
        <f t="shared" si="10"/>
        <v>0</v>
      </c>
      <c r="S36" s="35">
        <f t="shared" si="10"/>
        <v>0</v>
      </c>
      <c r="T36" s="35">
        <f t="shared" si="10"/>
        <v>0</v>
      </c>
      <c r="U36" s="35">
        <f t="shared" si="10"/>
        <v>0</v>
      </c>
      <c r="V36" s="35">
        <f t="shared" si="10"/>
        <v>0</v>
      </c>
      <c r="W36" s="35">
        <f t="shared" si="10"/>
        <v>0</v>
      </c>
      <c r="X36" s="35">
        <f t="shared" si="10"/>
        <v>30138.274509803927</v>
      </c>
      <c r="Y36" s="35">
        <f t="shared" si="10"/>
        <v>30138.274509803927</v>
      </c>
      <c r="Z36" s="35">
        <f t="shared" si="11"/>
        <v>30138.274509803927</v>
      </c>
      <c r="AA36" s="35">
        <f t="shared" si="11"/>
        <v>30138.274509803927</v>
      </c>
      <c r="AB36" s="35">
        <f t="shared" si="11"/>
        <v>30138.274509803927</v>
      </c>
      <c r="AC36" s="35">
        <f t="shared" si="11"/>
        <v>30138.274509803927</v>
      </c>
      <c r="AD36" s="35">
        <f t="shared" si="11"/>
        <v>0</v>
      </c>
      <c r="AE36" s="35">
        <f t="shared" si="11"/>
        <v>0</v>
      </c>
      <c r="AF36" s="35">
        <f t="shared" si="11"/>
        <v>0</v>
      </c>
      <c r="AG36" s="35">
        <f t="shared" si="11"/>
        <v>0</v>
      </c>
      <c r="AH36" s="35">
        <f t="shared" si="11"/>
        <v>0</v>
      </c>
      <c r="AI36" s="35">
        <f t="shared" si="11"/>
        <v>0</v>
      </c>
      <c r="AJ36" s="35">
        <f t="shared" si="12"/>
        <v>0</v>
      </c>
      <c r="AK36" s="35">
        <f t="shared" si="12"/>
        <v>0</v>
      </c>
      <c r="AL36" s="35">
        <f t="shared" si="12"/>
        <v>0</v>
      </c>
      <c r="AM36" s="35">
        <f t="shared" si="12"/>
        <v>0</v>
      </c>
      <c r="AN36" s="35">
        <f t="shared" si="12"/>
        <v>0</v>
      </c>
      <c r="AO36" s="35">
        <f t="shared" si="12"/>
        <v>0</v>
      </c>
      <c r="AP36" s="35">
        <f t="shared" si="12"/>
        <v>0</v>
      </c>
      <c r="AQ36" s="35">
        <f t="shared" si="12"/>
        <v>0</v>
      </c>
      <c r="AR36" s="35">
        <f t="shared" si="12"/>
        <v>0</v>
      </c>
      <c r="AS36" s="35">
        <f t="shared" si="12"/>
        <v>0</v>
      </c>
      <c r="AT36" s="35">
        <f t="shared" si="13"/>
        <v>0</v>
      </c>
      <c r="AU36" s="35">
        <f t="shared" si="13"/>
        <v>0</v>
      </c>
      <c r="AV36" s="35">
        <f t="shared" si="13"/>
        <v>0</v>
      </c>
      <c r="AW36" s="35">
        <f t="shared" si="13"/>
        <v>0</v>
      </c>
      <c r="AX36" s="35">
        <f t="shared" si="13"/>
        <v>0</v>
      </c>
      <c r="AY36" s="35">
        <f t="shared" si="13"/>
        <v>0</v>
      </c>
      <c r="AZ36" s="35">
        <f t="shared" si="13"/>
        <v>0</v>
      </c>
      <c r="BA36" s="35">
        <f t="shared" si="13"/>
        <v>0</v>
      </c>
      <c r="BB36" s="35">
        <f t="shared" si="13"/>
        <v>0</v>
      </c>
      <c r="BC36" s="35">
        <f t="shared" si="13"/>
        <v>0</v>
      </c>
      <c r="BD36" s="35">
        <f t="shared" si="13"/>
        <v>0</v>
      </c>
      <c r="BE36" s="35">
        <f t="shared" si="13"/>
        <v>0</v>
      </c>
      <c r="BF36" s="35">
        <f t="shared" si="13"/>
        <v>0</v>
      </c>
      <c r="BG36" s="35">
        <f t="shared" si="13"/>
        <v>0</v>
      </c>
    </row>
    <row r="37" spans="1:59" x14ac:dyDescent="0.25">
      <c r="A37" s="4" t="s">
        <v>387</v>
      </c>
      <c r="B37" s="26">
        <f>'Hard Costs'!$G$69</f>
        <v>435540</v>
      </c>
      <c r="C37" s="6">
        <v>6</v>
      </c>
      <c r="D37" s="6">
        <v>11</v>
      </c>
      <c r="F37" s="35">
        <f t="shared" si="9"/>
        <v>0</v>
      </c>
      <c r="G37" s="35">
        <f t="shared" si="9"/>
        <v>0</v>
      </c>
      <c r="H37" s="35">
        <f t="shared" si="9"/>
        <v>0</v>
      </c>
      <c r="I37" s="35">
        <f t="shared" si="9"/>
        <v>0</v>
      </c>
      <c r="J37" s="35">
        <f t="shared" si="9"/>
        <v>0</v>
      </c>
      <c r="K37" s="35">
        <f t="shared" si="9"/>
        <v>0</v>
      </c>
      <c r="L37" s="35">
        <f t="shared" si="9"/>
        <v>0</v>
      </c>
      <c r="M37" s="35">
        <f t="shared" si="9"/>
        <v>0</v>
      </c>
      <c r="N37" s="35">
        <f t="shared" si="9"/>
        <v>0</v>
      </c>
      <c r="O37" s="35">
        <f t="shared" si="9"/>
        <v>0</v>
      </c>
      <c r="P37" s="35">
        <f t="shared" si="10"/>
        <v>0</v>
      </c>
      <c r="Q37" s="35">
        <f t="shared" si="10"/>
        <v>0</v>
      </c>
      <c r="R37" s="35">
        <f t="shared" si="10"/>
        <v>0</v>
      </c>
      <c r="S37" s="35">
        <f t="shared" si="10"/>
        <v>0</v>
      </c>
      <c r="T37" s="35">
        <f t="shared" si="10"/>
        <v>0</v>
      </c>
      <c r="U37" s="35">
        <f t="shared" si="10"/>
        <v>0</v>
      </c>
      <c r="V37" s="35">
        <f t="shared" si="10"/>
        <v>0</v>
      </c>
      <c r="W37" s="35">
        <f t="shared" si="10"/>
        <v>0</v>
      </c>
      <c r="X37" s="35">
        <f t="shared" si="10"/>
        <v>72590</v>
      </c>
      <c r="Y37" s="35">
        <f t="shared" si="10"/>
        <v>72590</v>
      </c>
      <c r="Z37" s="35">
        <f t="shared" si="11"/>
        <v>72590</v>
      </c>
      <c r="AA37" s="35">
        <f t="shared" si="11"/>
        <v>72590</v>
      </c>
      <c r="AB37" s="35">
        <f t="shared" si="11"/>
        <v>72590</v>
      </c>
      <c r="AC37" s="35">
        <f t="shared" si="11"/>
        <v>72590</v>
      </c>
      <c r="AD37" s="35">
        <f t="shared" si="11"/>
        <v>0</v>
      </c>
      <c r="AE37" s="35">
        <f t="shared" si="11"/>
        <v>0</v>
      </c>
      <c r="AF37" s="35">
        <f t="shared" si="11"/>
        <v>0</v>
      </c>
      <c r="AG37" s="35">
        <f t="shared" si="11"/>
        <v>0</v>
      </c>
      <c r="AH37" s="35">
        <f t="shared" si="11"/>
        <v>0</v>
      </c>
      <c r="AI37" s="35">
        <f t="shared" si="11"/>
        <v>0</v>
      </c>
      <c r="AJ37" s="35">
        <f t="shared" si="12"/>
        <v>0</v>
      </c>
      <c r="AK37" s="35">
        <f t="shared" si="12"/>
        <v>0</v>
      </c>
      <c r="AL37" s="35">
        <f t="shared" si="12"/>
        <v>0</v>
      </c>
      <c r="AM37" s="35">
        <f t="shared" si="12"/>
        <v>0</v>
      </c>
      <c r="AN37" s="35">
        <f t="shared" si="12"/>
        <v>0</v>
      </c>
      <c r="AO37" s="35">
        <f t="shared" si="12"/>
        <v>0</v>
      </c>
      <c r="AP37" s="35">
        <f t="shared" si="12"/>
        <v>0</v>
      </c>
      <c r="AQ37" s="35">
        <f t="shared" si="12"/>
        <v>0</v>
      </c>
      <c r="AR37" s="35">
        <f t="shared" si="12"/>
        <v>0</v>
      </c>
      <c r="AS37" s="35">
        <f t="shared" si="12"/>
        <v>0</v>
      </c>
      <c r="AT37" s="35">
        <f t="shared" si="13"/>
        <v>0</v>
      </c>
      <c r="AU37" s="35">
        <f t="shared" si="13"/>
        <v>0</v>
      </c>
      <c r="AV37" s="35">
        <f t="shared" si="13"/>
        <v>0</v>
      </c>
      <c r="AW37" s="35">
        <f t="shared" si="13"/>
        <v>0</v>
      </c>
      <c r="AX37" s="35">
        <f t="shared" si="13"/>
        <v>0</v>
      </c>
      <c r="AY37" s="35">
        <f t="shared" si="13"/>
        <v>0</v>
      </c>
      <c r="AZ37" s="35">
        <f t="shared" si="13"/>
        <v>0</v>
      </c>
      <c r="BA37" s="35">
        <f t="shared" si="13"/>
        <v>0</v>
      </c>
      <c r="BB37" s="35">
        <f t="shared" si="13"/>
        <v>0</v>
      </c>
      <c r="BC37" s="35">
        <f t="shared" si="13"/>
        <v>0</v>
      </c>
      <c r="BD37" s="35">
        <f t="shared" si="13"/>
        <v>0</v>
      </c>
      <c r="BE37" s="35">
        <f t="shared" si="13"/>
        <v>0</v>
      </c>
      <c r="BF37" s="35">
        <f t="shared" si="13"/>
        <v>0</v>
      </c>
      <c r="BG37" s="35">
        <f t="shared" si="13"/>
        <v>0</v>
      </c>
    </row>
    <row r="38" spans="1:59" x14ac:dyDescent="0.25">
      <c r="A38" s="4" t="s">
        <v>388</v>
      </c>
      <c r="B38" s="26">
        <f>'Hard Costs'!$G$70</f>
        <v>0</v>
      </c>
      <c r="C38" s="6">
        <v>11</v>
      </c>
      <c r="D38" s="6">
        <v>12</v>
      </c>
      <c r="F38" s="35">
        <f t="shared" si="9"/>
        <v>0</v>
      </c>
      <c r="G38" s="35">
        <f t="shared" si="9"/>
        <v>0</v>
      </c>
      <c r="H38" s="35">
        <f t="shared" si="9"/>
        <v>0</v>
      </c>
      <c r="I38" s="35">
        <f t="shared" si="9"/>
        <v>0</v>
      </c>
      <c r="J38" s="35">
        <f t="shared" si="9"/>
        <v>0</v>
      </c>
      <c r="K38" s="35">
        <f t="shared" si="9"/>
        <v>0</v>
      </c>
      <c r="L38" s="35">
        <f t="shared" si="9"/>
        <v>0</v>
      </c>
      <c r="M38" s="35">
        <f t="shared" si="9"/>
        <v>0</v>
      </c>
      <c r="N38" s="35">
        <f t="shared" si="9"/>
        <v>0</v>
      </c>
      <c r="O38" s="35">
        <f t="shared" si="9"/>
        <v>0</v>
      </c>
      <c r="P38" s="35">
        <f t="shared" si="10"/>
        <v>0</v>
      </c>
      <c r="Q38" s="35">
        <f t="shared" si="10"/>
        <v>0</v>
      </c>
      <c r="R38" s="35">
        <f t="shared" si="10"/>
        <v>0</v>
      </c>
      <c r="S38" s="35">
        <f t="shared" si="10"/>
        <v>0</v>
      </c>
      <c r="T38" s="35">
        <f t="shared" si="10"/>
        <v>0</v>
      </c>
      <c r="U38" s="35">
        <f t="shared" si="10"/>
        <v>0</v>
      </c>
      <c r="V38" s="35">
        <f t="shared" si="10"/>
        <v>0</v>
      </c>
      <c r="W38" s="35">
        <f t="shared" si="10"/>
        <v>0</v>
      </c>
      <c r="X38" s="35">
        <f t="shared" si="10"/>
        <v>0</v>
      </c>
      <c r="Y38" s="35">
        <f t="shared" si="10"/>
        <v>0</v>
      </c>
      <c r="Z38" s="35">
        <f t="shared" si="11"/>
        <v>0</v>
      </c>
      <c r="AA38" s="35">
        <f t="shared" si="11"/>
        <v>0</v>
      </c>
      <c r="AB38" s="35">
        <f t="shared" si="11"/>
        <v>0</v>
      </c>
      <c r="AC38" s="35">
        <f t="shared" si="11"/>
        <v>0</v>
      </c>
      <c r="AD38" s="35">
        <f t="shared" si="11"/>
        <v>0</v>
      </c>
      <c r="AE38" s="35">
        <f t="shared" si="11"/>
        <v>0</v>
      </c>
      <c r="AF38" s="35">
        <f t="shared" si="11"/>
        <v>0</v>
      </c>
      <c r="AG38" s="35">
        <f t="shared" si="11"/>
        <v>0</v>
      </c>
      <c r="AH38" s="35">
        <f t="shared" si="11"/>
        <v>0</v>
      </c>
      <c r="AI38" s="35">
        <f t="shared" si="11"/>
        <v>0</v>
      </c>
      <c r="AJ38" s="35">
        <f t="shared" si="12"/>
        <v>0</v>
      </c>
      <c r="AK38" s="35">
        <f t="shared" si="12"/>
        <v>0</v>
      </c>
      <c r="AL38" s="35">
        <f t="shared" si="12"/>
        <v>0</v>
      </c>
      <c r="AM38" s="35">
        <f t="shared" si="12"/>
        <v>0</v>
      </c>
      <c r="AN38" s="35">
        <f t="shared" si="12"/>
        <v>0</v>
      </c>
      <c r="AO38" s="35">
        <f t="shared" si="12"/>
        <v>0</v>
      </c>
      <c r="AP38" s="35">
        <f t="shared" si="12"/>
        <v>0</v>
      </c>
      <c r="AQ38" s="35">
        <f t="shared" si="12"/>
        <v>0</v>
      </c>
      <c r="AR38" s="35">
        <f t="shared" si="12"/>
        <v>0</v>
      </c>
      <c r="AS38" s="35">
        <f t="shared" si="12"/>
        <v>0</v>
      </c>
      <c r="AT38" s="35">
        <f t="shared" si="13"/>
        <v>0</v>
      </c>
      <c r="AU38" s="35">
        <f t="shared" si="13"/>
        <v>0</v>
      </c>
      <c r="AV38" s="35">
        <f t="shared" si="13"/>
        <v>0</v>
      </c>
      <c r="AW38" s="35">
        <f t="shared" si="13"/>
        <v>0</v>
      </c>
      <c r="AX38" s="35">
        <f t="shared" si="13"/>
        <v>0</v>
      </c>
      <c r="AY38" s="35">
        <f t="shared" si="13"/>
        <v>0</v>
      </c>
      <c r="AZ38" s="35">
        <f t="shared" si="13"/>
        <v>0</v>
      </c>
      <c r="BA38" s="35">
        <f t="shared" si="13"/>
        <v>0</v>
      </c>
      <c r="BB38" s="35">
        <f t="shared" si="13"/>
        <v>0</v>
      </c>
      <c r="BC38" s="35">
        <f t="shared" si="13"/>
        <v>0</v>
      </c>
      <c r="BD38" s="35">
        <f t="shared" si="13"/>
        <v>0</v>
      </c>
      <c r="BE38" s="35">
        <f t="shared" si="13"/>
        <v>0</v>
      </c>
      <c r="BF38" s="35">
        <f t="shared" si="13"/>
        <v>0</v>
      </c>
      <c r="BG38" s="35">
        <f t="shared" si="13"/>
        <v>0</v>
      </c>
    </row>
    <row r="39" spans="1:59" ht="13" x14ac:dyDescent="0.3">
      <c r="A39" s="5" t="s">
        <v>389</v>
      </c>
    </row>
    <row r="40" spans="1:59" x14ac:dyDescent="0.25">
      <c r="A40" s="4" t="s">
        <v>390</v>
      </c>
      <c r="B40" s="26">
        <f>'Hard Costs'!$G$73</f>
        <v>176000</v>
      </c>
      <c r="C40" s="6">
        <v>10</v>
      </c>
      <c r="D40" s="6">
        <v>15</v>
      </c>
      <c r="F40" s="35">
        <f t="shared" ref="F40:O45" si="14">IF(AND(F$12-$B$7&gt;=$C40,F$12-$B$7&lt;=$D40),$B40/($D40-$C40+1),0)</f>
        <v>0</v>
      </c>
      <c r="G40" s="35">
        <f t="shared" si="14"/>
        <v>0</v>
      </c>
      <c r="H40" s="35">
        <f t="shared" si="14"/>
        <v>0</v>
      </c>
      <c r="I40" s="35">
        <f t="shared" si="14"/>
        <v>0</v>
      </c>
      <c r="J40" s="35">
        <f t="shared" si="14"/>
        <v>0</v>
      </c>
      <c r="K40" s="35">
        <f t="shared" si="14"/>
        <v>0</v>
      </c>
      <c r="L40" s="35">
        <f t="shared" si="14"/>
        <v>0</v>
      </c>
      <c r="M40" s="35">
        <f t="shared" si="14"/>
        <v>0</v>
      </c>
      <c r="N40" s="35">
        <f t="shared" si="14"/>
        <v>0</v>
      </c>
      <c r="O40" s="35">
        <f t="shared" si="14"/>
        <v>0</v>
      </c>
      <c r="P40" s="35">
        <f t="shared" ref="P40:Y45" si="15">IF(AND(P$12-$B$7&gt;=$C40,P$12-$B$7&lt;=$D40),$B40/($D40-$C40+1),0)</f>
        <v>0</v>
      </c>
      <c r="Q40" s="35">
        <f t="shared" si="15"/>
        <v>0</v>
      </c>
      <c r="R40" s="35">
        <f t="shared" si="15"/>
        <v>0</v>
      </c>
      <c r="S40" s="35">
        <f t="shared" si="15"/>
        <v>0</v>
      </c>
      <c r="T40" s="35">
        <f t="shared" si="15"/>
        <v>0</v>
      </c>
      <c r="U40" s="35">
        <f t="shared" si="15"/>
        <v>0</v>
      </c>
      <c r="V40" s="35">
        <f t="shared" si="15"/>
        <v>0</v>
      </c>
      <c r="W40" s="35">
        <f t="shared" si="15"/>
        <v>0</v>
      </c>
      <c r="X40" s="35">
        <f t="shared" si="15"/>
        <v>0</v>
      </c>
      <c r="Y40" s="35">
        <f t="shared" si="15"/>
        <v>0</v>
      </c>
      <c r="Z40" s="35">
        <f t="shared" ref="Z40:AI45" si="16">IF(AND(Z$12-$B$7&gt;=$C40,Z$12-$B$7&lt;=$D40),$B40/($D40-$C40+1),0)</f>
        <v>0</v>
      </c>
      <c r="AA40" s="35">
        <f t="shared" si="16"/>
        <v>0</v>
      </c>
      <c r="AB40" s="35">
        <f t="shared" si="16"/>
        <v>29333.333333333332</v>
      </c>
      <c r="AC40" s="35">
        <f t="shared" si="16"/>
        <v>29333.333333333332</v>
      </c>
      <c r="AD40" s="35">
        <f t="shared" si="16"/>
        <v>29333.333333333332</v>
      </c>
      <c r="AE40" s="35">
        <f t="shared" si="16"/>
        <v>29333.333333333332</v>
      </c>
      <c r="AF40" s="35">
        <f t="shared" si="16"/>
        <v>29333.333333333332</v>
      </c>
      <c r="AG40" s="35">
        <f t="shared" si="16"/>
        <v>29333.333333333332</v>
      </c>
      <c r="AH40" s="35">
        <f t="shared" si="16"/>
        <v>0</v>
      </c>
      <c r="AI40" s="35">
        <f t="shared" si="16"/>
        <v>0</v>
      </c>
      <c r="AJ40" s="35">
        <f t="shared" ref="AJ40:AS45" si="17">IF(AND(AJ$12-$B$7&gt;=$C40,AJ$12-$B$7&lt;=$D40),$B40/($D40-$C40+1),0)</f>
        <v>0</v>
      </c>
      <c r="AK40" s="35">
        <f t="shared" si="17"/>
        <v>0</v>
      </c>
      <c r="AL40" s="35">
        <f t="shared" si="17"/>
        <v>0</v>
      </c>
      <c r="AM40" s="35">
        <f t="shared" si="17"/>
        <v>0</v>
      </c>
      <c r="AN40" s="35">
        <f t="shared" si="17"/>
        <v>0</v>
      </c>
      <c r="AO40" s="35">
        <f t="shared" si="17"/>
        <v>0</v>
      </c>
      <c r="AP40" s="35">
        <f t="shared" si="17"/>
        <v>0</v>
      </c>
      <c r="AQ40" s="35">
        <f t="shared" si="17"/>
        <v>0</v>
      </c>
      <c r="AR40" s="35">
        <f t="shared" si="17"/>
        <v>0</v>
      </c>
      <c r="AS40" s="35">
        <f t="shared" si="17"/>
        <v>0</v>
      </c>
      <c r="AT40" s="35">
        <f t="shared" ref="AT40:BG45" si="18">IF(AND(AT$12-$B$7&gt;=$C40,AT$12-$B$7&lt;=$D40),$B40/($D40-$C40+1),0)</f>
        <v>0</v>
      </c>
      <c r="AU40" s="35">
        <f t="shared" si="18"/>
        <v>0</v>
      </c>
      <c r="AV40" s="35">
        <f t="shared" si="18"/>
        <v>0</v>
      </c>
      <c r="AW40" s="35">
        <f t="shared" si="18"/>
        <v>0</v>
      </c>
      <c r="AX40" s="35">
        <f t="shared" si="18"/>
        <v>0</v>
      </c>
      <c r="AY40" s="35">
        <f t="shared" si="18"/>
        <v>0</v>
      </c>
      <c r="AZ40" s="35">
        <f t="shared" si="18"/>
        <v>0</v>
      </c>
      <c r="BA40" s="35">
        <f t="shared" si="18"/>
        <v>0</v>
      </c>
      <c r="BB40" s="35">
        <f t="shared" si="18"/>
        <v>0</v>
      </c>
      <c r="BC40" s="35">
        <f t="shared" si="18"/>
        <v>0</v>
      </c>
      <c r="BD40" s="35">
        <f t="shared" si="18"/>
        <v>0</v>
      </c>
      <c r="BE40" s="35">
        <f t="shared" si="18"/>
        <v>0</v>
      </c>
      <c r="BF40" s="35">
        <f t="shared" si="18"/>
        <v>0</v>
      </c>
      <c r="BG40" s="35">
        <f t="shared" si="18"/>
        <v>0</v>
      </c>
    </row>
    <row r="41" spans="1:59" x14ac:dyDescent="0.25">
      <c r="A41" s="4" t="s">
        <v>391</v>
      </c>
      <c r="B41" s="26">
        <f>'Hard Costs'!$G$74</f>
        <v>148500</v>
      </c>
      <c r="C41" s="6">
        <v>10</v>
      </c>
      <c r="D41" s="6">
        <v>15</v>
      </c>
      <c r="F41" s="35">
        <f t="shared" si="14"/>
        <v>0</v>
      </c>
      <c r="G41" s="35">
        <f t="shared" si="14"/>
        <v>0</v>
      </c>
      <c r="H41" s="35">
        <f t="shared" si="14"/>
        <v>0</v>
      </c>
      <c r="I41" s="35">
        <f t="shared" si="14"/>
        <v>0</v>
      </c>
      <c r="J41" s="35">
        <f t="shared" si="14"/>
        <v>0</v>
      </c>
      <c r="K41" s="35">
        <f t="shared" si="14"/>
        <v>0</v>
      </c>
      <c r="L41" s="35">
        <f t="shared" si="14"/>
        <v>0</v>
      </c>
      <c r="M41" s="35">
        <f t="shared" si="14"/>
        <v>0</v>
      </c>
      <c r="N41" s="35">
        <f t="shared" si="14"/>
        <v>0</v>
      </c>
      <c r="O41" s="35">
        <f t="shared" si="14"/>
        <v>0</v>
      </c>
      <c r="P41" s="35">
        <f t="shared" si="15"/>
        <v>0</v>
      </c>
      <c r="Q41" s="35">
        <f t="shared" si="15"/>
        <v>0</v>
      </c>
      <c r="R41" s="35">
        <f t="shared" si="15"/>
        <v>0</v>
      </c>
      <c r="S41" s="35">
        <f t="shared" si="15"/>
        <v>0</v>
      </c>
      <c r="T41" s="35">
        <f t="shared" si="15"/>
        <v>0</v>
      </c>
      <c r="U41" s="35">
        <f t="shared" si="15"/>
        <v>0</v>
      </c>
      <c r="V41" s="35">
        <f t="shared" si="15"/>
        <v>0</v>
      </c>
      <c r="W41" s="35">
        <f t="shared" si="15"/>
        <v>0</v>
      </c>
      <c r="X41" s="35">
        <f t="shared" si="15"/>
        <v>0</v>
      </c>
      <c r="Y41" s="35">
        <f t="shared" si="15"/>
        <v>0</v>
      </c>
      <c r="Z41" s="35">
        <f t="shared" si="16"/>
        <v>0</v>
      </c>
      <c r="AA41" s="35">
        <f t="shared" si="16"/>
        <v>0</v>
      </c>
      <c r="AB41" s="35">
        <f t="shared" si="16"/>
        <v>24750</v>
      </c>
      <c r="AC41" s="35">
        <f t="shared" si="16"/>
        <v>24750</v>
      </c>
      <c r="AD41" s="35">
        <f t="shared" si="16"/>
        <v>24750</v>
      </c>
      <c r="AE41" s="35">
        <f t="shared" si="16"/>
        <v>24750</v>
      </c>
      <c r="AF41" s="35">
        <f t="shared" si="16"/>
        <v>24750</v>
      </c>
      <c r="AG41" s="35">
        <f t="shared" si="16"/>
        <v>24750</v>
      </c>
      <c r="AH41" s="35">
        <f t="shared" si="16"/>
        <v>0</v>
      </c>
      <c r="AI41" s="35">
        <f t="shared" si="16"/>
        <v>0</v>
      </c>
      <c r="AJ41" s="35">
        <f t="shared" si="17"/>
        <v>0</v>
      </c>
      <c r="AK41" s="35">
        <f t="shared" si="17"/>
        <v>0</v>
      </c>
      <c r="AL41" s="35">
        <f t="shared" si="17"/>
        <v>0</v>
      </c>
      <c r="AM41" s="35">
        <f t="shared" si="17"/>
        <v>0</v>
      </c>
      <c r="AN41" s="35">
        <f t="shared" si="17"/>
        <v>0</v>
      </c>
      <c r="AO41" s="35">
        <f t="shared" si="17"/>
        <v>0</v>
      </c>
      <c r="AP41" s="35">
        <f t="shared" si="17"/>
        <v>0</v>
      </c>
      <c r="AQ41" s="35">
        <f t="shared" si="17"/>
        <v>0</v>
      </c>
      <c r="AR41" s="35">
        <f t="shared" si="17"/>
        <v>0</v>
      </c>
      <c r="AS41" s="35">
        <f t="shared" si="17"/>
        <v>0</v>
      </c>
      <c r="AT41" s="35">
        <f t="shared" si="18"/>
        <v>0</v>
      </c>
      <c r="AU41" s="35">
        <f t="shared" si="18"/>
        <v>0</v>
      </c>
      <c r="AV41" s="35">
        <f t="shared" si="18"/>
        <v>0</v>
      </c>
      <c r="AW41" s="35">
        <f t="shared" si="18"/>
        <v>0</v>
      </c>
      <c r="AX41" s="35">
        <f t="shared" si="18"/>
        <v>0</v>
      </c>
      <c r="AY41" s="35">
        <f t="shared" si="18"/>
        <v>0</v>
      </c>
      <c r="AZ41" s="35">
        <f t="shared" si="18"/>
        <v>0</v>
      </c>
      <c r="BA41" s="35">
        <f t="shared" si="18"/>
        <v>0</v>
      </c>
      <c r="BB41" s="35">
        <f t="shared" si="18"/>
        <v>0</v>
      </c>
      <c r="BC41" s="35">
        <f t="shared" si="18"/>
        <v>0</v>
      </c>
      <c r="BD41" s="35">
        <f t="shared" si="18"/>
        <v>0</v>
      </c>
      <c r="BE41" s="35">
        <f t="shared" si="18"/>
        <v>0</v>
      </c>
      <c r="BF41" s="35">
        <f t="shared" si="18"/>
        <v>0</v>
      </c>
      <c r="BG41" s="35">
        <f t="shared" si="18"/>
        <v>0</v>
      </c>
    </row>
    <row r="42" spans="1:59" x14ac:dyDescent="0.25">
      <c r="A42" s="4" t="s">
        <v>392</v>
      </c>
      <c r="B42" s="26">
        <f>'Hard Costs'!$G$75</f>
        <v>448140</v>
      </c>
      <c r="C42" s="6">
        <v>8</v>
      </c>
      <c r="D42" s="6">
        <v>13</v>
      </c>
      <c r="F42" s="35">
        <f t="shared" si="14"/>
        <v>0</v>
      </c>
      <c r="G42" s="35">
        <f t="shared" si="14"/>
        <v>0</v>
      </c>
      <c r="H42" s="35">
        <f t="shared" si="14"/>
        <v>0</v>
      </c>
      <c r="I42" s="35">
        <f t="shared" si="14"/>
        <v>0</v>
      </c>
      <c r="J42" s="35">
        <f t="shared" si="14"/>
        <v>0</v>
      </c>
      <c r="K42" s="35">
        <f t="shared" si="14"/>
        <v>0</v>
      </c>
      <c r="L42" s="35">
        <f t="shared" si="14"/>
        <v>0</v>
      </c>
      <c r="M42" s="35">
        <f t="shared" si="14"/>
        <v>0</v>
      </c>
      <c r="N42" s="35">
        <f t="shared" si="14"/>
        <v>0</v>
      </c>
      <c r="O42" s="35">
        <f t="shared" si="14"/>
        <v>0</v>
      </c>
      <c r="P42" s="35">
        <f t="shared" si="15"/>
        <v>0</v>
      </c>
      <c r="Q42" s="35">
        <f t="shared" si="15"/>
        <v>0</v>
      </c>
      <c r="R42" s="35">
        <f t="shared" si="15"/>
        <v>0</v>
      </c>
      <c r="S42" s="35">
        <f t="shared" si="15"/>
        <v>0</v>
      </c>
      <c r="T42" s="35">
        <f t="shared" si="15"/>
        <v>0</v>
      </c>
      <c r="U42" s="35">
        <f t="shared" si="15"/>
        <v>0</v>
      </c>
      <c r="V42" s="35">
        <f t="shared" si="15"/>
        <v>0</v>
      </c>
      <c r="W42" s="35">
        <f t="shared" si="15"/>
        <v>0</v>
      </c>
      <c r="X42" s="35">
        <f t="shared" si="15"/>
        <v>0</v>
      </c>
      <c r="Y42" s="35">
        <f t="shared" si="15"/>
        <v>0</v>
      </c>
      <c r="Z42" s="35">
        <f t="shared" si="16"/>
        <v>74690</v>
      </c>
      <c r="AA42" s="35">
        <f t="shared" si="16"/>
        <v>74690</v>
      </c>
      <c r="AB42" s="35">
        <f t="shared" si="16"/>
        <v>74690</v>
      </c>
      <c r="AC42" s="35">
        <f t="shared" si="16"/>
        <v>74690</v>
      </c>
      <c r="AD42" s="35">
        <f t="shared" si="16"/>
        <v>74690</v>
      </c>
      <c r="AE42" s="35">
        <f t="shared" si="16"/>
        <v>74690</v>
      </c>
      <c r="AF42" s="35">
        <f t="shared" si="16"/>
        <v>0</v>
      </c>
      <c r="AG42" s="35">
        <f t="shared" si="16"/>
        <v>0</v>
      </c>
      <c r="AH42" s="35">
        <f t="shared" si="16"/>
        <v>0</v>
      </c>
      <c r="AI42" s="35">
        <f t="shared" si="16"/>
        <v>0</v>
      </c>
      <c r="AJ42" s="35">
        <f t="shared" si="17"/>
        <v>0</v>
      </c>
      <c r="AK42" s="35">
        <f t="shared" si="17"/>
        <v>0</v>
      </c>
      <c r="AL42" s="35">
        <f t="shared" si="17"/>
        <v>0</v>
      </c>
      <c r="AM42" s="35">
        <f t="shared" si="17"/>
        <v>0</v>
      </c>
      <c r="AN42" s="35">
        <f t="shared" si="17"/>
        <v>0</v>
      </c>
      <c r="AO42" s="35">
        <f t="shared" si="17"/>
        <v>0</v>
      </c>
      <c r="AP42" s="35">
        <f t="shared" si="17"/>
        <v>0</v>
      </c>
      <c r="AQ42" s="35">
        <f t="shared" si="17"/>
        <v>0</v>
      </c>
      <c r="AR42" s="35">
        <f t="shared" si="17"/>
        <v>0</v>
      </c>
      <c r="AS42" s="35">
        <f t="shared" si="17"/>
        <v>0</v>
      </c>
      <c r="AT42" s="35">
        <f t="shared" si="18"/>
        <v>0</v>
      </c>
      <c r="AU42" s="35">
        <f t="shared" si="18"/>
        <v>0</v>
      </c>
      <c r="AV42" s="35">
        <f t="shared" si="18"/>
        <v>0</v>
      </c>
      <c r="AW42" s="35">
        <f t="shared" si="18"/>
        <v>0</v>
      </c>
      <c r="AX42" s="35">
        <f t="shared" si="18"/>
        <v>0</v>
      </c>
      <c r="AY42" s="35">
        <f t="shared" si="18"/>
        <v>0</v>
      </c>
      <c r="AZ42" s="35">
        <f t="shared" si="18"/>
        <v>0</v>
      </c>
      <c r="BA42" s="35">
        <f t="shared" si="18"/>
        <v>0</v>
      </c>
      <c r="BB42" s="35">
        <f t="shared" si="18"/>
        <v>0</v>
      </c>
      <c r="BC42" s="35">
        <f t="shared" si="18"/>
        <v>0</v>
      </c>
      <c r="BD42" s="35">
        <f t="shared" si="18"/>
        <v>0</v>
      </c>
      <c r="BE42" s="35">
        <f t="shared" si="18"/>
        <v>0</v>
      </c>
      <c r="BF42" s="35">
        <f t="shared" si="18"/>
        <v>0</v>
      </c>
      <c r="BG42" s="35">
        <f t="shared" si="18"/>
        <v>0</v>
      </c>
    </row>
    <row r="43" spans="1:59" x14ac:dyDescent="0.25">
      <c r="A43" s="4" t="s">
        <v>393</v>
      </c>
      <c r="B43" s="26">
        <f>'Hard Costs'!$G$76</f>
        <v>0</v>
      </c>
      <c r="C43" s="6">
        <v>14</v>
      </c>
      <c r="D43" s="6">
        <v>16</v>
      </c>
      <c r="F43" s="35">
        <f t="shared" si="14"/>
        <v>0</v>
      </c>
      <c r="G43" s="35">
        <f t="shared" si="14"/>
        <v>0</v>
      </c>
      <c r="H43" s="35">
        <f t="shared" si="14"/>
        <v>0</v>
      </c>
      <c r="I43" s="35">
        <f t="shared" si="14"/>
        <v>0</v>
      </c>
      <c r="J43" s="35">
        <f t="shared" si="14"/>
        <v>0</v>
      </c>
      <c r="K43" s="35">
        <f t="shared" si="14"/>
        <v>0</v>
      </c>
      <c r="L43" s="35">
        <f t="shared" si="14"/>
        <v>0</v>
      </c>
      <c r="M43" s="35">
        <f t="shared" si="14"/>
        <v>0</v>
      </c>
      <c r="N43" s="35">
        <f t="shared" si="14"/>
        <v>0</v>
      </c>
      <c r="O43" s="35">
        <f t="shared" si="14"/>
        <v>0</v>
      </c>
      <c r="P43" s="35">
        <f t="shared" si="15"/>
        <v>0</v>
      </c>
      <c r="Q43" s="35">
        <f t="shared" si="15"/>
        <v>0</v>
      </c>
      <c r="R43" s="35">
        <f t="shared" si="15"/>
        <v>0</v>
      </c>
      <c r="S43" s="35">
        <f t="shared" si="15"/>
        <v>0</v>
      </c>
      <c r="T43" s="35">
        <f t="shared" si="15"/>
        <v>0</v>
      </c>
      <c r="U43" s="35">
        <f t="shared" si="15"/>
        <v>0</v>
      </c>
      <c r="V43" s="35">
        <f t="shared" si="15"/>
        <v>0</v>
      </c>
      <c r="W43" s="35">
        <f t="shared" si="15"/>
        <v>0</v>
      </c>
      <c r="X43" s="35">
        <f t="shared" si="15"/>
        <v>0</v>
      </c>
      <c r="Y43" s="35">
        <f t="shared" si="15"/>
        <v>0</v>
      </c>
      <c r="Z43" s="35">
        <f t="shared" si="16"/>
        <v>0</v>
      </c>
      <c r="AA43" s="35">
        <f t="shared" si="16"/>
        <v>0</v>
      </c>
      <c r="AB43" s="35">
        <f t="shared" si="16"/>
        <v>0</v>
      </c>
      <c r="AC43" s="35">
        <f t="shared" si="16"/>
        <v>0</v>
      </c>
      <c r="AD43" s="35">
        <f t="shared" si="16"/>
        <v>0</v>
      </c>
      <c r="AE43" s="35">
        <f t="shared" si="16"/>
        <v>0</v>
      </c>
      <c r="AF43" s="35">
        <f t="shared" si="16"/>
        <v>0</v>
      </c>
      <c r="AG43" s="35">
        <f t="shared" si="16"/>
        <v>0</v>
      </c>
      <c r="AH43" s="35">
        <f t="shared" si="16"/>
        <v>0</v>
      </c>
      <c r="AI43" s="35">
        <f t="shared" si="16"/>
        <v>0</v>
      </c>
      <c r="AJ43" s="35">
        <f t="shared" si="17"/>
        <v>0</v>
      </c>
      <c r="AK43" s="35">
        <f t="shared" si="17"/>
        <v>0</v>
      </c>
      <c r="AL43" s="35">
        <f t="shared" si="17"/>
        <v>0</v>
      </c>
      <c r="AM43" s="35">
        <f t="shared" si="17"/>
        <v>0</v>
      </c>
      <c r="AN43" s="35">
        <f t="shared" si="17"/>
        <v>0</v>
      </c>
      <c r="AO43" s="35">
        <f t="shared" si="17"/>
        <v>0</v>
      </c>
      <c r="AP43" s="35">
        <f t="shared" si="17"/>
        <v>0</v>
      </c>
      <c r="AQ43" s="35">
        <f t="shared" si="17"/>
        <v>0</v>
      </c>
      <c r="AR43" s="35">
        <f t="shared" si="17"/>
        <v>0</v>
      </c>
      <c r="AS43" s="35">
        <f t="shared" si="17"/>
        <v>0</v>
      </c>
      <c r="AT43" s="35">
        <f t="shared" si="18"/>
        <v>0</v>
      </c>
      <c r="AU43" s="35">
        <f t="shared" si="18"/>
        <v>0</v>
      </c>
      <c r="AV43" s="35">
        <f t="shared" si="18"/>
        <v>0</v>
      </c>
      <c r="AW43" s="35">
        <f t="shared" si="18"/>
        <v>0</v>
      </c>
      <c r="AX43" s="35">
        <f t="shared" si="18"/>
        <v>0</v>
      </c>
      <c r="AY43" s="35">
        <f t="shared" si="18"/>
        <v>0</v>
      </c>
      <c r="AZ43" s="35">
        <f t="shared" si="18"/>
        <v>0</v>
      </c>
      <c r="BA43" s="35">
        <f t="shared" si="18"/>
        <v>0</v>
      </c>
      <c r="BB43" s="35">
        <f t="shared" si="18"/>
        <v>0</v>
      </c>
      <c r="BC43" s="35">
        <f t="shared" si="18"/>
        <v>0</v>
      </c>
      <c r="BD43" s="35">
        <f t="shared" si="18"/>
        <v>0</v>
      </c>
      <c r="BE43" s="35">
        <f t="shared" si="18"/>
        <v>0</v>
      </c>
      <c r="BF43" s="35">
        <f t="shared" si="18"/>
        <v>0</v>
      </c>
      <c r="BG43" s="35">
        <f t="shared" si="18"/>
        <v>0</v>
      </c>
    </row>
    <row r="44" spans="1:59" x14ac:dyDescent="0.25">
      <c r="A44" s="4" t="s">
        <v>394</v>
      </c>
      <c r="B44" s="26">
        <f>'Hard Costs'!$G$77</f>
        <v>192014</v>
      </c>
      <c r="C44" s="6">
        <v>11</v>
      </c>
      <c r="D44" s="6">
        <v>13</v>
      </c>
      <c r="F44" s="35">
        <f t="shared" si="14"/>
        <v>0</v>
      </c>
      <c r="G44" s="35">
        <f t="shared" si="14"/>
        <v>0</v>
      </c>
      <c r="H44" s="35">
        <f t="shared" si="14"/>
        <v>0</v>
      </c>
      <c r="I44" s="35">
        <f t="shared" si="14"/>
        <v>0</v>
      </c>
      <c r="J44" s="35">
        <f t="shared" si="14"/>
        <v>0</v>
      </c>
      <c r="K44" s="35">
        <f t="shared" si="14"/>
        <v>0</v>
      </c>
      <c r="L44" s="35">
        <f t="shared" si="14"/>
        <v>0</v>
      </c>
      <c r="M44" s="35">
        <f t="shared" si="14"/>
        <v>0</v>
      </c>
      <c r="N44" s="35">
        <f t="shared" si="14"/>
        <v>0</v>
      </c>
      <c r="O44" s="35">
        <f t="shared" si="14"/>
        <v>0</v>
      </c>
      <c r="P44" s="35">
        <f t="shared" si="15"/>
        <v>0</v>
      </c>
      <c r="Q44" s="35">
        <f t="shared" si="15"/>
        <v>0</v>
      </c>
      <c r="R44" s="35">
        <f t="shared" si="15"/>
        <v>0</v>
      </c>
      <c r="S44" s="35">
        <f t="shared" si="15"/>
        <v>0</v>
      </c>
      <c r="T44" s="35">
        <f t="shared" si="15"/>
        <v>0</v>
      </c>
      <c r="U44" s="35">
        <f t="shared" si="15"/>
        <v>0</v>
      </c>
      <c r="V44" s="35">
        <f t="shared" si="15"/>
        <v>0</v>
      </c>
      <c r="W44" s="35">
        <f t="shared" si="15"/>
        <v>0</v>
      </c>
      <c r="X44" s="35">
        <f t="shared" si="15"/>
        <v>0</v>
      </c>
      <c r="Y44" s="35">
        <f t="shared" si="15"/>
        <v>0</v>
      </c>
      <c r="Z44" s="35">
        <f t="shared" si="16"/>
        <v>0</v>
      </c>
      <c r="AA44" s="35">
        <f t="shared" si="16"/>
        <v>0</v>
      </c>
      <c r="AB44" s="35">
        <f t="shared" si="16"/>
        <v>0</v>
      </c>
      <c r="AC44" s="35">
        <f t="shared" si="16"/>
        <v>64004.666666666664</v>
      </c>
      <c r="AD44" s="35">
        <f t="shared" si="16"/>
        <v>64004.666666666664</v>
      </c>
      <c r="AE44" s="35">
        <f t="shared" si="16"/>
        <v>64004.666666666664</v>
      </c>
      <c r="AF44" s="35">
        <f t="shared" si="16"/>
        <v>0</v>
      </c>
      <c r="AG44" s="35">
        <f t="shared" si="16"/>
        <v>0</v>
      </c>
      <c r="AH44" s="35">
        <f t="shared" si="16"/>
        <v>0</v>
      </c>
      <c r="AI44" s="35">
        <f t="shared" si="16"/>
        <v>0</v>
      </c>
      <c r="AJ44" s="35">
        <f t="shared" si="17"/>
        <v>0</v>
      </c>
      <c r="AK44" s="35">
        <f t="shared" si="17"/>
        <v>0</v>
      </c>
      <c r="AL44" s="35">
        <f t="shared" si="17"/>
        <v>0</v>
      </c>
      <c r="AM44" s="35">
        <f t="shared" si="17"/>
        <v>0</v>
      </c>
      <c r="AN44" s="35">
        <f t="shared" si="17"/>
        <v>0</v>
      </c>
      <c r="AO44" s="35">
        <f t="shared" si="17"/>
        <v>0</v>
      </c>
      <c r="AP44" s="35">
        <f t="shared" si="17"/>
        <v>0</v>
      </c>
      <c r="AQ44" s="35">
        <f t="shared" si="17"/>
        <v>0</v>
      </c>
      <c r="AR44" s="35">
        <f t="shared" si="17"/>
        <v>0</v>
      </c>
      <c r="AS44" s="35">
        <f t="shared" si="17"/>
        <v>0</v>
      </c>
      <c r="AT44" s="35">
        <f t="shared" si="18"/>
        <v>0</v>
      </c>
      <c r="AU44" s="35">
        <f t="shared" si="18"/>
        <v>0</v>
      </c>
      <c r="AV44" s="35">
        <f t="shared" si="18"/>
        <v>0</v>
      </c>
      <c r="AW44" s="35">
        <f t="shared" si="18"/>
        <v>0</v>
      </c>
      <c r="AX44" s="35">
        <f t="shared" si="18"/>
        <v>0</v>
      </c>
      <c r="AY44" s="35">
        <f t="shared" si="18"/>
        <v>0</v>
      </c>
      <c r="AZ44" s="35">
        <f t="shared" si="18"/>
        <v>0</v>
      </c>
      <c r="BA44" s="35">
        <f t="shared" si="18"/>
        <v>0</v>
      </c>
      <c r="BB44" s="35">
        <f t="shared" si="18"/>
        <v>0</v>
      </c>
      <c r="BC44" s="35">
        <f t="shared" si="18"/>
        <v>0</v>
      </c>
      <c r="BD44" s="35">
        <f t="shared" si="18"/>
        <v>0</v>
      </c>
      <c r="BE44" s="35">
        <f t="shared" si="18"/>
        <v>0</v>
      </c>
      <c r="BF44" s="35">
        <f t="shared" si="18"/>
        <v>0</v>
      </c>
      <c r="BG44" s="35">
        <f t="shared" si="18"/>
        <v>0</v>
      </c>
    </row>
    <row r="45" spans="1:59" x14ac:dyDescent="0.25">
      <c r="A45" s="4" t="s">
        <v>395</v>
      </c>
      <c r="B45" s="26">
        <f>'Hard Costs'!$G$78</f>
        <v>60000</v>
      </c>
      <c r="C45" s="6">
        <v>17</v>
      </c>
      <c r="D45" s="6">
        <v>19</v>
      </c>
      <c r="F45" s="35">
        <f t="shared" si="14"/>
        <v>0</v>
      </c>
      <c r="G45" s="35">
        <f t="shared" si="14"/>
        <v>0</v>
      </c>
      <c r="H45" s="35">
        <f t="shared" si="14"/>
        <v>0</v>
      </c>
      <c r="I45" s="35">
        <f t="shared" si="14"/>
        <v>0</v>
      </c>
      <c r="J45" s="35">
        <f t="shared" si="14"/>
        <v>0</v>
      </c>
      <c r="K45" s="35">
        <f t="shared" si="14"/>
        <v>0</v>
      </c>
      <c r="L45" s="35">
        <f t="shared" si="14"/>
        <v>0</v>
      </c>
      <c r="M45" s="35">
        <f t="shared" si="14"/>
        <v>0</v>
      </c>
      <c r="N45" s="35">
        <f t="shared" si="14"/>
        <v>0</v>
      </c>
      <c r="O45" s="35">
        <f t="shared" si="14"/>
        <v>0</v>
      </c>
      <c r="P45" s="35">
        <f t="shared" si="15"/>
        <v>0</v>
      </c>
      <c r="Q45" s="35">
        <f t="shared" si="15"/>
        <v>0</v>
      </c>
      <c r="R45" s="35">
        <f t="shared" si="15"/>
        <v>0</v>
      </c>
      <c r="S45" s="35">
        <f t="shared" si="15"/>
        <v>0</v>
      </c>
      <c r="T45" s="35">
        <f t="shared" si="15"/>
        <v>0</v>
      </c>
      <c r="U45" s="35">
        <f t="shared" si="15"/>
        <v>0</v>
      </c>
      <c r="V45" s="35">
        <f t="shared" si="15"/>
        <v>0</v>
      </c>
      <c r="W45" s="35">
        <f t="shared" si="15"/>
        <v>0</v>
      </c>
      <c r="X45" s="35">
        <f t="shared" si="15"/>
        <v>0</v>
      </c>
      <c r="Y45" s="35">
        <f t="shared" si="15"/>
        <v>0</v>
      </c>
      <c r="Z45" s="35">
        <f t="shared" si="16"/>
        <v>0</v>
      </c>
      <c r="AA45" s="35">
        <f t="shared" si="16"/>
        <v>0</v>
      </c>
      <c r="AB45" s="35">
        <f t="shared" si="16"/>
        <v>0</v>
      </c>
      <c r="AC45" s="35">
        <f t="shared" si="16"/>
        <v>0</v>
      </c>
      <c r="AD45" s="35">
        <f t="shared" si="16"/>
        <v>0</v>
      </c>
      <c r="AE45" s="35">
        <f t="shared" si="16"/>
        <v>0</v>
      </c>
      <c r="AF45" s="35">
        <f t="shared" si="16"/>
        <v>0</v>
      </c>
      <c r="AG45" s="35">
        <f t="shared" si="16"/>
        <v>0</v>
      </c>
      <c r="AH45" s="35">
        <f t="shared" si="16"/>
        <v>0</v>
      </c>
      <c r="AI45" s="35">
        <f t="shared" si="16"/>
        <v>20000</v>
      </c>
      <c r="AJ45" s="35">
        <f t="shared" si="17"/>
        <v>20000</v>
      </c>
      <c r="AK45" s="35">
        <f t="shared" si="17"/>
        <v>20000</v>
      </c>
      <c r="AL45" s="35">
        <f t="shared" si="17"/>
        <v>0</v>
      </c>
      <c r="AM45" s="35">
        <f t="shared" si="17"/>
        <v>0</v>
      </c>
      <c r="AN45" s="35">
        <f t="shared" si="17"/>
        <v>0</v>
      </c>
      <c r="AO45" s="35">
        <f t="shared" si="17"/>
        <v>0</v>
      </c>
      <c r="AP45" s="35">
        <f t="shared" si="17"/>
        <v>0</v>
      </c>
      <c r="AQ45" s="35">
        <f t="shared" si="17"/>
        <v>0</v>
      </c>
      <c r="AR45" s="35">
        <f t="shared" si="17"/>
        <v>0</v>
      </c>
      <c r="AS45" s="35">
        <f t="shared" si="17"/>
        <v>0</v>
      </c>
      <c r="AT45" s="35">
        <f t="shared" si="18"/>
        <v>0</v>
      </c>
      <c r="AU45" s="35">
        <f t="shared" si="18"/>
        <v>0</v>
      </c>
      <c r="AV45" s="35">
        <f t="shared" si="18"/>
        <v>0</v>
      </c>
      <c r="AW45" s="35">
        <f t="shared" si="18"/>
        <v>0</v>
      </c>
      <c r="AX45" s="35">
        <f t="shared" si="18"/>
        <v>0</v>
      </c>
      <c r="AY45" s="35">
        <f t="shared" si="18"/>
        <v>0</v>
      </c>
      <c r="AZ45" s="35">
        <f t="shared" si="18"/>
        <v>0</v>
      </c>
      <c r="BA45" s="35">
        <f t="shared" si="18"/>
        <v>0</v>
      </c>
      <c r="BB45" s="35">
        <f t="shared" si="18"/>
        <v>0</v>
      </c>
      <c r="BC45" s="35">
        <f t="shared" si="18"/>
        <v>0</v>
      </c>
      <c r="BD45" s="35">
        <f t="shared" si="18"/>
        <v>0</v>
      </c>
      <c r="BE45" s="35">
        <f t="shared" si="18"/>
        <v>0</v>
      </c>
      <c r="BF45" s="35">
        <f t="shared" si="18"/>
        <v>0</v>
      </c>
      <c r="BG45" s="35">
        <f t="shared" si="18"/>
        <v>0</v>
      </c>
    </row>
    <row r="46" spans="1:59" ht="13" x14ac:dyDescent="0.3">
      <c r="A46" s="5" t="s">
        <v>396</v>
      </c>
    </row>
    <row r="47" spans="1:59" x14ac:dyDescent="0.25">
      <c r="A47" s="4" t="s">
        <v>397</v>
      </c>
      <c r="B47" s="26">
        <f>'Hard Costs'!$G$81</f>
        <v>495000</v>
      </c>
      <c r="C47" s="6">
        <v>12</v>
      </c>
      <c r="D47" s="6">
        <v>18</v>
      </c>
      <c r="F47" s="35">
        <f t="shared" ref="F47:O55" si="19">IF(AND(F$12-$B$7&gt;=$C47,F$12-$B$7&lt;=$D47),$B47/($D47-$C47+1),0)</f>
        <v>0</v>
      </c>
      <c r="G47" s="35">
        <f t="shared" si="19"/>
        <v>0</v>
      </c>
      <c r="H47" s="35">
        <f t="shared" si="19"/>
        <v>0</v>
      </c>
      <c r="I47" s="35">
        <f t="shared" si="19"/>
        <v>0</v>
      </c>
      <c r="J47" s="35">
        <f t="shared" si="19"/>
        <v>0</v>
      </c>
      <c r="K47" s="35">
        <f t="shared" si="19"/>
        <v>0</v>
      </c>
      <c r="L47" s="35">
        <f t="shared" si="19"/>
        <v>0</v>
      </c>
      <c r="M47" s="35">
        <f t="shared" si="19"/>
        <v>0</v>
      </c>
      <c r="N47" s="35">
        <f t="shared" si="19"/>
        <v>0</v>
      </c>
      <c r="O47" s="35">
        <f t="shared" si="19"/>
        <v>0</v>
      </c>
      <c r="P47" s="35">
        <f t="shared" ref="P47:Y55" si="20">IF(AND(P$12-$B$7&gt;=$C47,P$12-$B$7&lt;=$D47),$B47/($D47-$C47+1),0)</f>
        <v>0</v>
      </c>
      <c r="Q47" s="35">
        <f t="shared" si="20"/>
        <v>0</v>
      </c>
      <c r="R47" s="35">
        <f t="shared" si="20"/>
        <v>0</v>
      </c>
      <c r="S47" s="35">
        <f t="shared" si="20"/>
        <v>0</v>
      </c>
      <c r="T47" s="35">
        <f t="shared" si="20"/>
        <v>0</v>
      </c>
      <c r="U47" s="35">
        <f t="shared" si="20"/>
        <v>0</v>
      </c>
      <c r="V47" s="35">
        <f t="shared" si="20"/>
        <v>0</v>
      </c>
      <c r="W47" s="35">
        <f t="shared" si="20"/>
        <v>0</v>
      </c>
      <c r="X47" s="35">
        <f t="shared" si="20"/>
        <v>0</v>
      </c>
      <c r="Y47" s="35">
        <f t="shared" si="20"/>
        <v>0</v>
      </c>
      <c r="Z47" s="35">
        <f t="shared" ref="Z47:AI55" si="21">IF(AND(Z$12-$B$7&gt;=$C47,Z$12-$B$7&lt;=$D47),$B47/($D47-$C47+1),0)</f>
        <v>0</v>
      </c>
      <c r="AA47" s="35">
        <f t="shared" si="21"/>
        <v>0</v>
      </c>
      <c r="AB47" s="35">
        <f t="shared" si="21"/>
        <v>0</v>
      </c>
      <c r="AC47" s="35">
        <f t="shared" si="21"/>
        <v>0</v>
      </c>
      <c r="AD47" s="35">
        <f t="shared" si="21"/>
        <v>70714.28571428571</v>
      </c>
      <c r="AE47" s="35">
        <f t="shared" si="21"/>
        <v>70714.28571428571</v>
      </c>
      <c r="AF47" s="35">
        <f t="shared" si="21"/>
        <v>70714.28571428571</v>
      </c>
      <c r="AG47" s="35">
        <f t="shared" si="21"/>
        <v>70714.28571428571</v>
      </c>
      <c r="AH47" s="35">
        <f t="shared" si="21"/>
        <v>70714.28571428571</v>
      </c>
      <c r="AI47" s="35">
        <f t="shared" si="21"/>
        <v>70714.28571428571</v>
      </c>
      <c r="AJ47" s="35">
        <f t="shared" ref="AJ47:AS55" si="22">IF(AND(AJ$12-$B$7&gt;=$C47,AJ$12-$B$7&lt;=$D47),$B47/($D47-$C47+1),0)</f>
        <v>70714.28571428571</v>
      </c>
      <c r="AK47" s="35">
        <f t="shared" si="22"/>
        <v>0</v>
      </c>
      <c r="AL47" s="35">
        <f t="shared" si="22"/>
        <v>0</v>
      </c>
      <c r="AM47" s="35">
        <f t="shared" si="22"/>
        <v>0</v>
      </c>
      <c r="AN47" s="35">
        <f t="shared" si="22"/>
        <v>0</v>
      </c>
      <c r="AO47" s="35">
        <f t="shared" si="22"/>
        <v>0</v>
      </c>
      <c r="AP47" s="35">
        <f t="shared" si="22"/>
        <v>0</v>
      </c>
      <c r="AQ47" s="35">
        <f t="shared" si="22"/>
        <v>0</v>
      </c>
      <c r="AR47" s="35">
        <f t="shared" si="22"/>
        <v>0</v>
      </c>
      <c r="AS47" s="35">
        <f t="shared" si="22"/>
        <v>0</v>
      </c>
      <c r="AT47" s="35">
        <f t="shared" ref="AT47:BG55" si="23">IF(AND(AT$12-$B$7&gt;=$C47,AT$12-$B$7&lt;=$D47),$B47/($D47-$C47+1),0)</f>
        <v>0</v>
      </c>
      <c r="AU47" s="35">
        <f t="shared" si="23"/>
        <v>0</v>
      </c>
      <c r="AV47" s="35">
        <f t="shared" si="23"/>
        <v>0</v>
      </c>
      <c r="AW47" s="35">
        <f t="shared" si="23"/>
        <v>0</v>
      </c>
      <c r="AX47" s="35">
        <f t="shared" si="23"/>
        <v>0</v>
      </c>
      <c r="AY47" s="35">
        <f t="shared" si="23"/>
        <v>0</v>
      </c>
      <c r="AZ47" s="35">
        <f t="shared" si="23"/>
        <v>0</v>
      </c>
      <c r="BA47" s="35">
        <f t="shared" si="23"/>
        <v>0</v>
      </c>
      <c r="BB47" s="35">
        <f t="shared" si="23"/>
        <v>0</v>
      </c>
      <c r="BC47" s="35">
        <f t="shared" si="23"/>
        <v>0</v>
      </c>
      <c r="BD47" s="35">
        <f t="shared" si="23"/>
        <v>0</v>
      </c>
      <c r="BE47" s="35">
        <f t="shared" si="23"/>
        <v>0</v>
      </c>
      <c r="BF47" s="35">
        <f t="shared" si="23"/>
        <v>0</v>
      </c>
      <c r="BG47" s="35">
        <f t="shared" si="23"/>
        <v>0</v>
      </c>
    </row>
    <row r="48" spans="1:59" x14ac:dyDescent="0.25">
      <c r="A48" s="4" t="s">
        <v>398</v>
      </c>
      <c r="B48" s="26">
        <f>'Hard Costs'!$G$82</f>
        <v>198000</v>
      </c>
      <c r="C48" s="6">
        <v>7</v>
      </c>
      <c r="D48" s="6">
        <v>12</v>
      </c>
      <c r="F48" s="35">
        <f t="shared" si="19"/>
        <v>0</v>
      </c>
      <c r="G48" s="35">
        <f t="shared" si="19"/>
        <v>0</v>
      </c>
      <c r="H48" s="35">
        <f t="shared" si="19"/>
        <v>0</v>
      </c>
      <c r="I48" s="35">
        <f t="shared" si="19"/>
        <v>0</v>
      </c>
      <c r="J48" s="35">
        <f t="shared" si="19"/>
        <v>0</v>
      </c>
      <c r="K48" s="35">
        <f t="shared" si="19"/>
        <v>0</v>
      </c>
      <c r="L48" s="35">
        <f t="shared" si="19"/>
        <v>0</v>
      </c>
      <c r="M48" s="35">
        <f t="shared" si="19"/>
        <v>0</v>
      </c>
      <c r="N48" s="35">
        <f t="shared" si="19"/>
        <v>0</v>
      </c>
      <c r="O48" s="35">
        <f t="shared" si="19"/>
        <v>0</v>
      </c>
      <c r="P48" s="35">
        <f t="shared" si="20"/>
        <v>0</v>
      </c>
      <c r="Q48" s="35">
        <f t="shared" si="20"/>
        <v>0</v>
      </c>
      <c r="R48" s="35">
        <f t="shared" si="20"/>
        <v>0</v>
      </c>
      <c r="S48" s="35">
        <f t="shared" si="20"/>
        <v>0</v>
      </c>
      <c r="T48" s="35">
        <f t="shared" si="20"/>
        <v>0</v>
      </c>
      <c r="U48" s="35">
        <f t="shared" si="20"/>
        <v>0</v>
      </c>
      <c r="V48" s="35">
        <f t="shared" si="20"/>
        <v>0</v>
      </c>
      <c r="W48" s="35">
        <f t="shared" si="20"/>
        <v>0</v>
      </c>
      <c r="X48" s="35">
        <f t="shared" si="20"/>
        <v>0</v>
      </c>
      <c r="Y48" s="35">
        <f t="shared" si="20"/>
        <v>33000</v>
      </c>
      <c r="Z48" s="35">
        <f t="shared" si="21"/>
        <v>33000</v>
      </c>
      <c r="AA48" s="35">
        <f t="shared" si="21"/>
        <v>33000</v>
      </c>
      <c r="AB48" s="35">
        <f t="shared" si="21"/>
        <v>33000</v>
      </c>
      <c r="AC48" s="35">
        <f t="shared" si="21"/>
        <v>33000</v>
      </c>
      <c r="AD48" s="35">
        <f t="shared" si="21"/>
        <v>33000</v>
      </c>
      <c r="AE48" s="35">
        <f t="shared" si="21"/>
        <v>0</v>
      </c>
      <c r="AF48" s="35">
        <f t="shared" si="21"/>
        <v>0</v>
      </c>
      <c r="AG48" s="35">
        <f t="shared" si="21"/>
        <v>0</v>
      </c>
      <c r="AH48" s="35">
        <f t="shared" si="21"/>
        <v>0</v>
      </c>
      <c r="AI48" s="35">
        <f t="shared" si="21"/>
        <v>0</v>
      </c>
      <c r="AJ48" s="35">
        <f t="shared" si="22"/>
        <v>0</v>
      </c>
      <c r="AK48" s="35">
        <f t="shared" si="22"/>
        <v>0</v>
      </c>
      <c r="AL48" s="35">
        <f t="shared" si="22"/>
        <v>0</v>
      </c>
      <c r="AM48" s="35">
        <f t="shared" si="22"/>
        <v>0</v>
      </c>
      <c r="AN48" s="35">
        <f t="shared" si="22"/>
        <v>0</v>
      </c>
      <c r="AO48" s="35">
        <f t="shared" si="22"/>
        <v>0</v>
      </c>
      <c r="AP48" s="35">
        <f t="shared" si="22"/>
        <v>0</v>
      </c>
      <c r="AQ48" s="35">
        <f t="shared" si="22"/>
        <v>0</v>
      </c>
      <c r="AR48" s="35">
        <f t="shared" si="22"/>
        <v>0</v>
      </c>
      <c r="AS48" s="35">
        <f t="shared" si="22"/>
        <v>0</v>
      </c>
      <c r="AT48" s="35">
        <f t="shared" si="23"/>
        <v>0</v>
      </c>
      <c r="AU48" s="35">
        <f t="shared" si="23"/>
        <v>0</v>
      </c>
      <c r="AV48" s="35">
        <f t="shared" si="23"/>
        <v>0</v>
      </c>
      <c r="AW48" s="35">
        <f t="shared" si="23"/>
        <v>0</v>
      </c>
      <c r="AX48" s="35">
        <f t="shared" si="23"/>
        <v>0</v>
      </c>
      <c r="AY48" s="35">
        <f t="shared" si="23"/>
        <v>0</v>
      </c>
      <c r="AZ48" s="35">
        <f t="shared" si="23"/>
        <v>0</v>
      </c>
      <c r="BA48" s="35">
        <f t="shared" si="23"/>
        <v>0</v>
      </c>
      <c r="BB48" s="35">
        <f t="shared" si="23"/>
        <v>0</v>
      </c>
      <c r="BC48" s="35">
        <f t="shared" si="23"/>
        <v>0</v>
      </c>
      <c r="BD48" s="35">
        <f t="shared" si="23"/>
        <v>0</v>
      </c>
      <c r="BE48" s="35">
        <f t="shared" si="23"/>
        <v>0</v>
      </c>
      <c r="BF48" s="35">
        <f t="shared" si="23"/>
        <v>0</v>
      </c>
      <c r="BG48" s="35">
        <f t="shared" si="23"/>
        <v>0</v>
      </c>
    </row>
    <row r="49" spans="1:59" x14ac:dyDescent="0.25">
      <c r="A49" s="4" t="s">
        <v>399</v>
      </c>
      <c r="B49" s="26">
        <f>'Hard Costs'!$G$83</f>
        <v>270000</v>
      </c>
      <c r="C49" s="6">
        <v>9</v>
      </c>
      <c r="D49" s="6">
        <v>16</v>
      </c>
      <c r="F49" s="35">
        <f t="shared" si="19"/>
        <v>0</v>
      </c>
      <c r="G49" s="35">
        <f t="shared" si="19"/>
        <v>0</v>
      </c>
      <c r="H49" s="35">
        <f t="shared" si="19"/>
        <v>0</v>
      </c>
      <c r="I49" s="35">
        <f t="shared" si="19"/>
        <v>0</v>
      </c>
      <c r="J49" s="35">
        <f t="shared" si="19"/>
        <v>0</v>
      </c>
      <c r="K49" s="35">
        <f t="shared" si="19"/>
        <v>0</v>
      </c>
      <c r="L49" s="35">
        <f t="shared" si="19"/>
        <v>0</v>
      </c>
      <c r="M49" s="35">
        <f t="shared" si="19"/>
        <v>0</v>
      </c>
      <c r="N49" s="35">
        <f t="shared" si="19"/>
        <v>0</v>
      </c>
      <c r="O49" s="35">
        <f t="shared" si="19"/>
        <v>0</v>
      </c>
      <c r="P49" s="35">
        <f t="shared" si="20"/>
        <v>0</v>
      </c>
      <c r="Q49" s="35">
        <f t="shared" si="20"/>
        <v>0</v>
      </c>
      <c r="R49" s="35">
        <f t="shared" si="20"/>
        <v>0</v>
      </c>
      <c r="S49" s="35">
        <f t="shared" si="20"/>
        <v>0</v>
      </c>
      <c r="T49" s="35">
        <f t="shared" si="20"/>
        <v>0</v>
      </c>
      <c r="U49" s="35">
        <f t="shared" si="20"/>
        <v>0</v>
      </c>
      <c r="V49" s="35">
        <f t="shared" si="20"/>
        <v>0</v>
      </c>
      <c r="W49" s="35">
        <f t="shared" si="20"/>
        <v>0</v>
      </c>
      <c r="X49" s="35">
        <f t="shared" si="20"/>
        <v>0</v>
      </c>
      <c r="Y49" s="35">
        <f t="shared" si="20"/>
        <v>0</v>
      </c>
      <c r="Z49" s="35">
        <f t="shared" si="21"/>
        <v>0</v>
      </c>
      <c r="AA49" s="35">
        <f t="shared" si="21"/>
        <v>33750</v>
      </c>
      <c r="AB49" s="35">
        <f t="shared" si="21"/>
        <v>33750</v>
      </c>
      <c r="AC49" s="35">
        <f t="shared" si="21"/>
        <v>33750</v>
      </c>
      <c r="AD49" s="35">
        <f t="shared" si="21"/>
        <v>33750</v>
      </c>
      <c r="AE49" s="35">
        <f t="shared" si="21"/>
        <v>33750</v>
      </c>
      <c r="AF49" s="35">
        <f t="shared" si="21"/>
        <v>33750</v>
      </c>
      <c r="AG49" s="35">
        <f t="shared" si="21"/>
        <v>33750</v>
      </c>
      <c r="AH49" s="35">
        <f t="shared" si="21"/>
        <v>33750</v>
      </c>
      <c r="AI49" s="35">
        <f t="shared" si="21"/>
        <v>0</v>
      </c>
      <c r="AJ49" s="35">
        <f t="shared" si="22"/>
        <v>0</v>
      </c>
      <c r="AK49" s="35">
        <f t="shared" si="22"/>
        <v>0</v>
      </c>
      <c r="AL49" s="35">
        <f t="shared" si="22"/>
        <v>0</v>
      </c>
      <c r="AM49" s="35">
        <f t="shared" si="22"/>
        <v>0</v>
      </c>
      <c r="AN49" s="35">
        <f t="shared" si="22"/>
        <v>0</v>
      </c>
      <c r="AO49" s="35">
        <f t="shared" si="22"/>
        <v>0</v>
      </c>
      <c r="AP49" s="35">
        <f t="shared" si="22"/>
        <v>0</v>
      </c>
      <c r="AQ49" s="35">
        <f t="shared" si="22"/>
        <v>0</v>
      </c>
      <c r="AR49" s="35">
        <f t="shared" si="22"/>
        <v>0</v>
      </c>
      <c r="AS49" s="35">
        <f t="shared" si="22"/>
        <v>0</v>
      </c>
      <c r="AT49" s="35">
        <f t="shared" si="23"/>
        <v>0</v>
      </c>
      <c r="AU49" s="35">
        <f t="shared" si="23"/>
        <v>0</v>
      </c>
      <c r="AV49" s="35">
        <f t="shared" si="23"/>
        <v>0</v>
      </c>
      <c r="AW49" s="35">
        <f t="shared" si="23"/>
        <v>0</v>
      </c>
      <c r="AX49" s="35">
        <f t="shared" si="23"/>
        <v>0</v>
      </c>
      <c r="AY49" s="35">
        <f t="shared" si="23"/>
        <v>0</v>
      </c>
      <c r="AZ49" s="35">
        <f t="shared" si="23"/>
        <v>0</v>
      </c>
      <c r="BA49" s="35">
        <f t="shared" si="23"/>
        <v>0</v>
      </c>
      <c r="BB49" s="35">
        <f t="shared" si="23"/>
        <v>0</v>
      </c>
      <c r="BC49" s="35">
        <f t="shared" si="23"/>
        <v>0</v>
      </c>
      <c r="BD49" s="35">
        <f t="shared" si="23"/>
        <v>0</v>
      </c>
      <c r="BE49" s="35">
        <f t="shared" si="23"/>
        <v>0</v>
      </c>
      <c r="BF49" s="35">
        <f t="shared" si="23"/>
        <v>0</v>
      </c>
      <c r="BG49" s="35">
        <f t="shared" si="23"/>
        <v>0</v>
      </c>
    </row>
    <row r="50" spans="1:59" x14ac:dyDescent="0.25">
      <c r="A50" s="4" t="s">
        <v>400</v>
      </c>
      <c r="B50" s="26">
        <f>'Hard Costs'!$G$84</f>
        <v>162000</v>
      </c>
      <c r="C50" s="6">
        <v>13</v>
      </c>
      <c r="D50" s="6">
        <v>17</v>
      </c>
      <c r="F50" s="35">
        <f t="shared" si="19"/>
        <v>0</v>
      </c>
      <c r="G50" s="35">
        <f t="shared" si="19"/>
        <v>0</v>
      </c>
      <c r="H50" s="35">
        <f t="shared" si="19"/>
        <v>0</v>
      </c>
      <c r="I50" s="35">
        <f t="shared" si="19"/>
        <v>0</v>
      </c>
      <c r="J50" s="35">
        <f t="shared" si="19"/>
        <v>0</v>
      </c>
      <c r="K50" s="35">
        <f t="shared" si="19"/>
        <v>0</v>
      </c>
      <c r="L50" s="35">
        <f t="shared" si="19"/>
        <v>0</v>
      </c>
      <c r="M50" s="35">
        <f t="shared" si="19"/>
        <v>0</v>
      </c>
      <c r="N50" s="35">
        <f t="shared" si="19"/>
        <v>0</v>
      </c>
      <c r="O50" s="35">
        <f t="shared" si="19"/>
        <v>0</v>
      </c>
      <c r="P50" s="35">
        <f t="shared" si="20"/>
        <v>0</v>
      </c>
      <c r="Q50" s="35">
        <f t="shared" si="20"/>
        <v>0</v>
      </c>
      <c r="R50" s="35">
        <f t="shared" si="20"/>
        <v>0</v>
      </c>
      <c r="S50" s="35">
        <f t="shared" si="20"/>
        <v>0</v>
      </c>
      <c r="T50" s="35">
        <f t="shared" si="20"/>
        <v>0</v>
      </c>
      <c r="U50" s="35">
        <f t="shared" si="20"/>
        <v>0</v>
      </c>
      <c r="V50" s="35">
        <f t="shared" si="20"/>
        <v>0</v>
      </c>
      <c r="W50" s="35">
        <f t="shared" si="20"/>
        <v>0</v>
      </c>
      <c r="X50" s="35">
        <f t="shared" si="20"/>
        <v>0</v>
      </c>
      <c r="Y50" s="35">
        <f t="shared" si="20"/>
        <v>0</v>
      </c>
      <c r="Z50" s="35">
        <f t="shared" si="21"/>
        <v>0</v>
      </c>
      <c r="AA50" s="35">
        <f t="shared" si="21"/>
        <v>0</v>
      </c>
      <c r="AB50" s="35">
        <f t="shared" si="21"/>
        <v>0</v>
      </c>
      <c r="AC50" s="35">
        <f t="shared" si="21"/>
        <v>0</v>
      </c>
      <c r="AD50" s="35">
        <f t="shared" si="21"/>
        <v>0</v>
      </c>
      <c r="AE50" s="35">
        <f t="shared" si="21"/>
        <v>32400</v>
      </c>
      <c r="AF50" s="35">
        <f t="shared" si="21"/>
        <v>32400</v>
      </c>
      <c r="AG50" s="35">
        <f t="shared" si="21"/>
        <v>32400</v>
      </c>
      <c r="AH50" s="35">
        <f t="shared" si="21"/>
        <v>32400</v>
      </c>
      <c r="AI50" s="35">
        <f t="shared" si="21"/>
        <v>32400</v>
      </c>
      <c r="AJ50" s="35">
        <f t="shared" si="22"/>
        <v>0</v>
      </c>
      <c r="AK50" s="35">
        <f t="shared" si="22"/>
        <v>0</v>
      </c>
      <c r="AL50" s="35">
        <f t="shared" si="22"/>
        <v>0</v>
      </c>
      <c r="AM50" s="35">
        <f t="shared" si="22"/>
        <v>0</v>
      </c>
      <c r="AN50" s="35">
        <f t="shared" si="22"/>
        <v>0</v>
      </c>
      <c r="AO50" s="35">
        <f t="shared" si="22"/>
        <v>0</v>
      </c>
      <c r="AP50" s="35">
        <f t="shared" si="22"/>
        <v>0</v>
      </c>
      <c r="AQ50" s="35">
        <f t="shared" si="22"/>
        <v>0</v>
      </c>
      <c r="AR50" s="35">
        <f t="shared" si="22"/>
        <v>0</v>
      </c>
      <c r="AS50" s="35">
        <f t="shared" si="22"/>
        <v>0</v>
      </c>
      <c r="AT50" s="35">
        <f t="shared" si="23"/>
        <v>0</v>
      </c>
      <c r="AU50" s="35">
        <f t="shared" si="23"/>
        <v>0</v>
      </c>
      <c r="AV50" s="35">
        <f t="shared" si="23"/>
        <v>0</v>
      </c>
      <c r="AW50" s="35">
        <f t="shared" si="23"/>
        <v>0</v>
      </c>
      <c r="AX50" s="35">
        <f t="shared" si="23"/>
        <v>0</v>
      </c>
      <c r="AY50" s="35">
        <f t="shared" si="23"/>
        <v>0</v>
      </c>
      <c r="AZ50" s="35">
        <f t="shared" si="23"/>
        <v>0</v>
      </c>
      <c r="BA50" s="35">
        <f t="shared" si="23"/>
        <v>0</v>
      </c>
      <c r="BB50" s="35">
        <f t="shared" si="23"/>
        <v>0</v>
      </c>
      <c r="BC50" s="35">
        <f t="shared" si="23"/>
        <v>0</v>
      </c>
      <c r="BD50" s="35">
        <f t="shared" si="23"/>
        <v>0</v>
      </c>
      <c r="BE50" s="35">
        <f t="shared" si="23"/>
        <v>0</v>
      </c>
      <c r="BF50" s="35">
        <f t="shared" si="23"/>
        <v>0</v>
      </c>
      <c r="BG50" s="35">
        <f t="shared" si="23"/>
        <v>0</v>
      </c>
    </row>
    <row r="51" spans="1:59" x14ac:dyDescent="0.25">
      <c r="A51" s="4" t="s">
        <v>401</v>
      </c>
      <c r="B51" s="26">
        <f>'Hard Costs'!$G$85</f>
        <v>54000</v>
      </c>
      <c r="C51" s="6">
        <v>13</v>
      </c>
      <c r="D51" s="6">
        <v>17</v>
      </c>
      <c r="F51" s="35">
        <f t="shared" si="19"/>
        <v>0</v>
      </c>
      <c r="G51" s="35">
        <f t="shared" si="19"/>
        <v>0</v>
      </c>
      <c r="H51" s="35">
        <f t="shared" si="19"/>
        <v>0</v>
      </c>
      <c r="I51" s="35">
        <f t="shared" si="19"/>
        <v>0</v>
      </c>
      <c r="J51" s="35">
        <f t="shared" si="19"/>
        <v>0</v>
      </c>
      <c r="K51" s="35">
        <f t="shared" si="19"/>
        <v>0</v>
      </c>
      <c r="L51" s="35">
        <f t="shared" si="19"/>
        <v>0</v>
      </c>
      <c r="M51" s="35">
        <f t="shared" si="19"/>
        <v>0</v>
      </c>
      <c r="N51" s="35">
        <f t="shared" si="19"/>
        <v>0</v>
      </c>
      <c r="O51" s="35">
        <f t="shared" si="19"/>
        <v>0</v>
      </c>
      <c r="P51" s="35">
        <f t="shared" si="20"/>
        <v>0</v>
      </c>
      <c r="Q51" s="35">
        <f t="shared" si="20"/>
        <v>0</v>
      </c>
      <c r="R51" s="35">
        <f t="shared" si="20"/>
        <v>0</v>
      </c>
      <c r="S51" s="35">
        <f t="shared" si="20"/>
        <v>0</v>
      </c>
      <c r="T51" s="35">
        <f t="shared" si="20"/>
        <v>0</v>
      </c>
      <c r="U51" s="35">
        <f t="shared" si="20"/>
        <v>0</v>
      </c>
      <c r="V51" s="35">
        <f t="shared" si="20"/>
        <v>0</v>
      </c>
      <c r="W51" s="35">
        <f t="shared" si="20"/>
        <v>0</v>
      </c>
      <c r="X51" s="35">
        <f t="shared" si="20"/>
        <v>0</v>
      </c>
      <c r="Y51" s="35">
        <f t="shared" si="20"/>
        <v>0</v>
      </c>
      <c r="Z51" s="35">
        <f t="shared" si="21"/>
        <v>0</v>
      </c>
      <c r="AA51" s="35">
        <f t="shared" si="21"/>
        <v>0</v>
      </c>
      <c r="AB51" s="35">
        <f t="shared" si="21"/>
        <v>0</v>
      </c>
      <c r="AC51" s="35">
        <f t="shared" si="21"/>
        <v>0</v>
      </c>
      <c r="AD51" s="35">
        <f t="shared" si="21"/>
        <v>0</v>
      </c>
      <c r="AE51" s="35">
        <f t="shared" si="21"/>
        <v>10800</v>
      </c>
      <c r="AF51" s="35">
        <f t="shared" si="21"/>
        <v>10800</v>
      </c>
      <c r="AG51" s="35">
        <f t="shared" si="21"/>
        <v>10800</v>
      </c>
      <c r="AH51" s="35">
        <f t="shared" si="21"/>
        <v>10800</v>
      </c>
      <c r="AI51" s="35">
        <f t="shared" si="21"/>
        <v>10800</v>
      </c>
      <c r="AJ51" s="35">
        <f t="shared" si="22"/>
        <v>0</v>
      </c>
      <c r="AK51" s="35">
        <f t="shared" si="22"/>
        <v>0</v>
      </c>
      <c r="AL51" s="35">
        <f t="shared" si="22"/>
        <v>0</v>
      </c>
      <c r="AM51" s="35">
        <f t="shared" si="22"/>
        <v>0</v>
      </c>
      <c r="AN51" s="35">
        <f t="shared" si="22"/>
        <v>0</v>
      </c>
      <c r="AO51" s="35">
        <f t="shared" si="22"/>
        <v>0</v>
      </c>
      <c r="AP51" s="35">
        <f t="shared" si="22"/>
        <v>0</v>
      </c>
      <c r="AQ51" s="35">
        <f t="shared" si="22"/>
        <v>0</v>
      </c>
      <c r="AR51" s="35">
        <f t="shared" si="22"/>
        <v>0</v>
      </c>
      <c r="AS51" s="35">
        <f t="shared" si="22"/>
        <v>0</v>
      </c>
      <c r="AT51" s="35">
        <f t="shared" si="23"/>
        <v>0</v>
      </c>
      <c r="AU51" s="35">
        <f t="shared" si="23"/>
        <v>0</v>
      </c>
      <c r="AV51" s="35">
        <f t="shared" si="23"/>
        <v>0</v>
      </c>
      <c r="AW51" s="35">
        <f t="shared" si="23"/>
        <v>0</v>
      </c>
      <c r="AX51" s="35">
        <f t="shared" si="23"/>
        <v>0</v>
      </c>
      <c r="AY51" s="35">
        <f t="shared" si="23"/>
        <v>0</v>
      </c>
      <c r="AZ51" s="35">
        <f t="shared" si="23"/>
        <v>0</v>
      </c>
      <c r="BA51" s="35">
        <f t="shared" si="23"/>
        <v>0</v>
      </c>
      <c r="BB51" s="35">
        <f t="shared" si="23"/>
        <v>0</v>
      </c>
      <c r="BC51" s="35">
        <f t="shared" si="23"/>
        <v>0</v>
      </c>
      <c r="BD51" s="35">
        <f t="shared" si="23"/>
        <v>0</v>
      </c>
      <c r="BE51" s="35">
        <f t="shared" si="23"/>
        <v>0</v>
      </c>
      <c r="BF51" s="35">
        <f t="shared" si="23"/>
        <v>0</v>
      </c>
      <c r="BG51" s="35">
        <f t="shared" si="23"/>
        <v>0</v>
      </c>
    </row>
    <row r="52" spans="1:59" x14ac:dyDescent="0.25">
      <c r="A52" s="4" t="s">
        <v>402</v>
      </c>
      <c r="B52" s="26">
        <f>'Hard Costs'!$G$86</f>
        <v>36000</v>
      </c>
      <c r="C52" s="6">
        <v>14</v>
      </c>
      <c r="D52" s="6">
        <v>16</v>
      </c>
      <c r="F52" s="35">
        <f t="shared" si="19"/>
        <v>0</v>
      </c>
      <c r="G52" s="35">
        <f t="shared" si="19"/>
        <v>0</v>
      </c>
      <c r="H52" s="35">
        <f t="shared" si="19"/>
        <v>0</v>
      </c>
      <c r="I52" s="35">
        <f t="shared" si="19"/>
        <v>0</v>
      </c>
      <c r="J52" s="35">
        <f t="shared" si="19"/>
        <v>0</v>
      </c>
      <c r="K52" s="35">
        <f t="shared" si="19"/>
        <v>0</v>
      </c>
      <c r="L52" s="35">
        <f t="shared" si="19"/>
        <v>0</v>
      </c>
      <c r="M52" s="35">
        <f t="shared" si="19"/>
        <v>0</v>
      </c>
      <c r="N52" s="35">
        <f t="shared" si="19"/>
        <v>0</v>
      </c>
      <c r="O52" s="35">
        <f t="shared" si="19"/>
        <v>0</v>
      </c>
      <c r="P52" s="35">
        <f t="shared" si="20"/>
        <v>0</v>
      </c>
      <c r="Q52" s="35">
        <f t="shared" si="20"/>
        <v>0</v>
      </c>
      <c r="R52" s="35">
        <f t="shared" si="20"/>
        <v>0</v>
      </c>
      <c r="S52" s="35">
        <f t="shared" si="20"/>
        <v>0</v>
      </c>
      <c r="T52" s="35">
        <f t="shared" si="20"/>
        <v>0</v>
      </c>
      <c r="U52" s="35">
        <f t="shared" si="20"/>
        <v>0</v>
      </c>
      <c r="V52" s="35">
        <f t="shared" si="20"/>
        <v>0</v>
      </c>
      <c r="W52" s="35">
        <f t="shared" si="20"/>
        <v>0</v>
      </c>
      <c r="X52" s="35">
        <f t="shared" si="20"/>
        <v>0</v>
      </c>
      <c r="Y52" s="35">
        <f t="shared" si="20"/>
        <v>0</v>
      </c>
      <c r="Z52" s="35">
        <f t="shared" si="21"/>
        <v>0</v>
      </c>
      <c r="AA52" s="35">
        <f t="shared" si="21"/>
        <v>0</v>
      </c>
      <c r="AB52" s="35">
        <f t="shared" si="21"/>
        <v>0</v>
      </c>
      <c r="AC52" s="35">
        <f t="shared" si="21"/>
        <v>0</v>
      </c>
      <c r="AD52" s="35">
        <f t="shared" si="21"/>
        <v>0</v>
      </c>
      <c r="AE52" s="35">
        <f t="shared" si="21"/>
        <v>0</v>
      </c>
      <c r="AF52" s="35">
        <f t="shared" si="21"/>
        <v>12000</v>
      </c>
      <c r="AG52" s="35">
        <f t="shared" si="21"/>
        <v>12000</v>
      </c>
      <c r="AH52" s="35">
        <f t="shared" si="21"/>
        <v>12000</v>
      </c>
      <c r="AI52" s="35">
        <f t="shared" si="21"/>
        <v>0</v>
      </c>
      <c r="AJ52" s="35">
        <f t="shared" si="22"/>
        <v>0</v>
      </c>
      <c r="AK52" s="35">
        <f t="shared" si="22"/>
        <v>0</v>
      </c>
      <c r="AL52" s="35">
        <f t="shared" si="22"/>
        <v>0</v>
      </c>
      <c r="AM52" s="35">
        <f t="shared" si="22"/>
        <v>0</v>
      </c>
      <c r="AN52" s="35">
        <f t="shared" si="22"/>
        <v>0</v>
      </c>
      <c r="AO52" s="35">
        <f t="shared" si="22"/>
        <v>0</v>
      </c>
      <c r="AP52" s="35">
        <f t="shared" si="22"/>
        <v>0</v>
      </c>
      <c r="AQ52" s="35">
        <f t="shared" si="22"/>
        <v>0</v>
      </c>
      <c r="AR52" s="35">
        <f t="shared" si="22"/>
        <v>0</v>
      </c>
      <c r="AS52" s="35">
        <f t="shared" si="22"/>
        <v>0</v>
      </c>
      <c r="AT52" s="35">
        <f t="shared" si="23"/>
        <v>0</v>
      </c>
      <c r="AU52" s="35">
        <f t="shared" si="23"/>
        <v>0</v>
      </c>
      <c r="AV52" s="35">
        <f t="shared" si="23"/>
        <v>0</v>
      </c>
      <c r="AW52" s="35">
        <f t="shared" si="23"/>
        <v>0</v>
      </c>
      <c r="AX52" s="35">
        <f t="shared" si="23"/>
        <v>0</v>
      </c>
      <c r="AY52" s="35">
        <f t="shared" si="23"/>
        <v>0</v>
      </c>
      <c r="AZ52" s="35">
        <f t="shared" si="23"/>
        <v>0</v>
      </c>
      <c r="BA52" s="35">
        <f t="shared" si="23"/>
        <v>0</v>
      </c>
      <c r="BB52" s="35">
        <f t="shared" si="23"/>
        <v>0</v>
      </c>
      <c r="BC52" s="35">
        <f t="shared" si="23"/>
        <v>0</v>
      </c>
      <c r="BD52" s="35">
        <f t="shared" si="23"/>
        <v>0</v>
      </c>
      <c r="BE52" s="35">
        <f t="shared" si="23"/>
        <v>0</v>
      </c>
      <c r="BF52" s="35">
        <f t="shared" si="23"/>
        <v>0</v>
      </c>
      <c r="BG52" s="35">
        <f t="shared" si="23"/>
        <v>0</v>
      </c>
    </row>
    <row r="53" spans="1:59" x14ac:dyDescent="0.25">
      <c r="A53" s="4" t="s">
        <v>403</v>
      </c>
      <c r="B53" s="26">
        <f>'Hard Costs'!$G$87</f>
        <v>75000</v>
      </c>
      <c r="C53" s="6">
        <v>15</v>
      </c>
      <c r="D53" s="6">
        <v>17</v>
      </c>
      <c r="F53" s="35">
        <f t="shared" si="19"/>
        <v>0</v>
      </c>
      <c r="G53" s="35">
        <f t="shared" si="19"/>
        <v>0</v>
      </c>
      <c r="H53" s="35">
        <f t="shared" si="19"/>
        <v>0</v>
      </c>
      <c r="I53" s="35">
        <f t="shared" si="19"/>
        <v>0</v>
      </c>
      <c r="J53" s="35">
        <f t="shared" si="19"/>
        <v>0</v>
      </c>
      <c r="K53" s="35">
        <f t="shared" si="19"/>
        <v>0</v>
      </c>
      <c r="L53" s="35">
        <f t="shared" si="19"/>
        <v>0</v>
      </c>
      <c r="M53" s="35">
        <f t="shared" si="19"/>
        <v>0</v>
      </c>
      <c r="N53" s="35">
        <f t="shared" si="19"/>
        <v>0</v>
      </c>
      <c r="O53" s="35">
        <f t="shared" si="19"/>
        <v>0</v>
      </c>
      <c r="P53" s="35">
        <f t="shared" si="20"/>
        <v>0</v>
      </c>
      <c r="Q53" s="35">
        <f t="shared" si="20"/>
        <v>0</v>
      </c>
      <c r="R53" s="35">
        <f t="shared" si="20"/>
        <v>0</v>
      </c>
      <c r="S53" s="35">
        <f t="shared" si="20"/>
        <v>0</v>
      </c>
      <c r="T53" s="35">
        <f t="shared" si="20"/>
        <v>0</v>
      </c>
      <c r="U53" s="35">
        <f t="shared" si="20"/>
        <v>0</v>
      </c>
      <c r="V53" s="35">
        <f t="shared" si="20"/>
        <v>0</v>
      </c>
      <c r="W53" s="35">
        <f t="shared" si="20"/>
        <v>0</v>
      </c>
      <c r="X53" s="35">
        <f t="shared" si="20"/>
        <v>0</v>
      </c>
      <c r="Y53" s="35">
        <f t="shared" si="20"/>
        <v>0</v>
      </c>
      <c r="Z53" s="35">
        <f t="shared" si="21"/>
        <v>0</v>
      </c>
      <c r="AA53" s="35">
        <f t="shared" si="21"/>
        <v>0</v>
      </c>
      <c r="AB53" s="35">
        <f t="shared" si="21"/>
        <v>0</v>
      </c>
      <c r="AC53" s="35">
        <f t="shared" si="21"/>
        <v>0</v>
      </c>
      <c r="AD53" s="35">
        <f t="shared" si="21"/>
        <v>0</v>
      </c>
      <c r="AE53" s="35">
        <f t="shared" si="21"/>
        <v>0</v>
      </c>
      <c r="AF53" s="35">
        <f t="shared" si="21"/>
        <v>0</v>
      </c>
      <c r="AG53" s="35">
        <f t="shared" si="21"/>
        <v>25000</v>
      </c>
      <c r="AH53" s="35">
        <f t="shared" si="21"/>
        <v>25000</v>
      </c>
      <c r="AI53" s="35">
        <f t="shared" si="21"/>
        <v>25000</v>
      </c>
      <c r="AJ53" s="35">
        <f t="shared" si="22"/>
        <v>0</v>
      </c>
      <c r="AK53" s="35">
        <f t="shared" si="22"/>
        <v>0</v>
      </c>
      <c r="AL53" s="35">
        <f t="shared" si="22"/>
        <v>0</v>
      </c>
      <c r="AM53" s="35">
        <f t="shared" si="22"/>
        <v>0</v>
      </c>
      <c r="AN53" s="35">
        <f t="shared" si="22"/>
        <v>0</v>
      </c>
      <c r="AO53" s="35">
        <f t="shared" si="22"/>
        <v>0</v>
      </c>
      <c r="AP53" s="35">
        <f t="shared" si="22"/>
        <v>0</v>
      </c>
      <c r="AQ53" s="35">
        <f t="shared" si="22"/>
        <v>0</v>
      </c>
      <c r="AR53" s="35">
        <f t="shared" si="22"/>
        <v>0</v>
      </c>
      <c r="AS53" s="35">
        <f t="shared" si="22"/>
        <v>0</v>
      </c>
      <c r="AT53" s="35">
        <f t="shared" si="23"/>
        <v>0</v>
      </c>
      <c r="AU53" s="35">
        <f t="shared" si="23"/>
        <v>0</v>
      </c>
      <c r="AV53" s="35">
        <f t="shared" si="23"/>
        <v>0</v>
      </c>
      <c r="AW53" s="35">
        <f t="shared" si="23"/>
        <v>0</v>
      </c>
      <c r="AX53" s="35">
        <f t="shared" si="23"/>
        <v>0</v>
      </c>
      <c r="AY53" s="35">
        <f t="shared" si="23"/>
        <v>0</v>
      </c>
      <c r="AZ53" s="35">
        <f t="shared" si="23"/>
        <v>0</v>
      </c>
      <c r="BA53" s="35">
        <f t="shared" si="23"/>
        <v>0</v>
      </c>
      <c r="BB53" s="35">
        <f t="shared" si="23"/>
        <v>0</v>
      </c>
      <c r="BC53" s="35">
        <f t="shared" si="23"/>
        <v>0</v>
      </c>
      <c r="BD53" s="35">
        <f t="shared" si="23"/>
        <v>0</v>
      </c>
      <c r="BE53" s="35">
        <f t="shared" si="23"/>
        <v>0</v>
      </c>
      <c r="BF53" s="35">
        <f t="shared" si="23"/>
        <v>0</v>
      </c>
      <c r="BG53" s="35">
        <f t="shared" si="23"/>
        <v>0</v>
      </c>
    </row>
    <row r="54" spans="1:59" x14ac:dyDescent="0.25">
      <c r="A54" s="4" t="s">
        <v>404</v>
      </c>
      <c r="B54" s="26">
        <f>'Hard Costs'!$G$88</f>
        <v>121324</v>
      </c>
      <c r="C54" s="6">
        <v>12</v>
      </c>
      <c r="D54" s="6">
        <v>16</v>
      </c>
      <c r="F54" s="35">
        <f t="shared" si="19"/>
        <v>0</v>
      </c>
      <c r="G54" s="35">
        <f t="shared" si="19"/>
        <v>0</v>
      </c>
      <c r="H54" s="35">
        <f t="shared" si="19"/>
        <v>0</v>
      </c>
      <c r="I54" s="35">
        <f t="shared" si="19"/>
        <v>0</v>
      </c>
      <c r="J54" s="35">
        <f t="shared" si="19"/>
        <v>0</v>
      </c>
      <c r="K54" s="35">
        <f t="shared" si="19"/>
        <v>0</v>
      </c>
      <c r="L54" s="35">
        <f t="shared" si="19"/>
        <v>0</v>
      </c>
      <c r="M54" s="35">
        <f t="shared" si="19"/>
        <v>0</v>
      </c>
      <c r="N54" s="35">
        <f t="shared" si="19"/>
        <v>0</v>
      </c>
      <c r="O54" s="35">
        <f t="shared" si="19"/>
        <v>0</v>
      </c>
      <c r="P54" s="35">
        <f t="shared" si="20"/>
        <v>0</v>
      </c>
      <c r="Q54" s="35">
        <f t="shared" si="20"/>
        <v>0</v>
      </c>
      <c r="R54" s="35">
        <f t="shared" si="20"/>
        <v>0</v>
      </c>
      <c r="S54" s="35">
        <f t="shared" si="20"/>
        <v>0</v>
      </c>
      <c r="T54" s="35">
        <f t="shared" si="20"/>
        <v>0</v>
      </c>
      <c r="U54" s="35">
        <f t="shared" si="20"/>
        <v>0</v>
      </c>
      <c r="V54" s="35">
        <f t="shared" si="20"/>
        <v>0</v>
      </c>
      <c r="W54" s="35">
        <f t="shared" si="20"/>
        <v>0</v>
      </c>
      <c r="X54" s="35">
        <f t="shared" si="20"/>
        <v>0</v>
      </c>
      <c r="Y54" s="35">
        <f t="shared" si="20"/>
        <v>0</v>
      </c>
      <c r="Z54" s="35">
        <f t="shared" si="21"/>
        <v>0</v>
      </c>
      <c r="AA54" s="35">
        <f t="shared" si="21"/>
        <v>0</v>
      </c>
      <c r="AB54" s="35">
        <f t="shared" si="21"/>
        <v>0</v>
      </c>
      <c r="AC54" s="35">
        <f t="shared" si="21"/>
        <v>0</v>
      </c>
      <c r="AD54" s="35">
        <f t="shared" si="21"/>
        <v>24264.799999999999</v>
      </c>
      <c r="AE54" s="35">
        <f t="shared" si="21"/>
        <v>24264.799999999999</v>
      </c>
      <c r="AF54" s="35">
        <f t="shared" si="21"/>
        <v>24264.799999999999</v>
      </c>
      <c r="AG54" s="35">
        <f t="shared" si="21"/>
        <v>24264.799999999999</v>
      </c>
      <c r="AH54" s="35">
        <f t="shared" si="21"/>
        <v>24264.799999999999</v>
      </c>
      <c r="AI54" s="35">
        <f t="shared" si="21"/>
        <v>0</v>
      </c>
      <c r="AJ54" s="35">
        <f t="shared" si="22"/>
        <v>0</v>
      </c>
      <c r="AK54" s="35">
        <f t="shared" si="22"/>
        <v>0</v>
      </c>
      <c r="AL54" s="35">
        <f t="shared" si="22"/>
        <v>0</v>
      </c>
      <c r="AM54" s="35">
        <f t="shared" si="22"/>
        <v>0</v>
      </c>
      <c r="AN54" s="35">
        <f t="shared" si="22"/>
        <v>0</v>
      </c>
      <c r="AO54" s="35">
        <f t="shared" si="22"/>
        <v>0</v>
      </c>
      <c r="AP54" s="35">
        <f t="shared" si="22"/>
        <v>0</v>
      </c>
      <c r="AQ54" s="35">
        <f t="shared" si="22"/>
        <v>0</v>
      </c>
      <c r="AR54" s="35">
        <f t="shared" si="22"/>
        <v>0</v>
      </c>
      <c r="AS54" s="35">
        <f t="shared" si="22"/>
        <v>0</v>
      </c>
      <c r="AT54" s="35">
        <f t="shared" si="23"/>
        <v>0</v>
      </c>
      <c r="AU54" s="35">
        <f t="shared" si="23"/>
        <v>0</v>
      </c>
      <c r="AV54" s="35">
        <f t="shared" si="23"/>
        <v>0</v>
      </c>
      <c r="AW54" s="35">
        <f t="shared" si="23"/>
        <v>0</v>
      </c>
      <c r="AX54" s="35">
        <f t="shared" si="23"/>
        <v>0</v>
      </c>
      <c r="AY54" s="35">
        <f t="shared" si="23"/>
        <v>0</v>
      </c>
      <c r="AZ54" s="35">
        <f t="shared" si="23"/>
        <v>0</v>
      </c>
      <c r="BA54" s="35">
        <f t="shared" si="23"/>
        <v>0</v>
      </c>
      <c r="BB54" s="35">
        <f t="shared" si="23"/>
        <v>0</v>
      </c>
      <c r="BC54" s="35">
        <f t="shared" si="23"/>
        <v>0</v>
      </c>
      <c r="BD54" s="35">
        <f t="shared" si="23"/>
        <v>0</v>
      </c>
      <c r="BE54" s="35">
        <f t="shared" si="23"/>
        <v>0</v>
      </c>
      <c r="BF54" s="35">
        <f t="shared" si="23"/>
        <v>0</v>
      </c>
      <c r="BG54" s="35">
        <f t="shared" si="23"/>
        <v>0</v>
      </c>
    </row>
    <row r="55" spans="1:59" x14ac:dyDescent="0.25">
      <c r="A55" s="4" t="s">
        <v>405</v>
      </c>
      <c r="B55" s="26">
        <f>'Hard Costs'!$G$89</f>
        <v>246092</v>
      </c>
      <c r="C55" s="6">
        <v>9</v>
      </c>
      <c r="D55" s="6">
        <v>15</v>
      </c>
      <c r="F55" s="35">
        <f t="shared" si="19"/>
        <v>0</v>
      </c>
      <c r="G55" s="35">
        <f t="shared" si="19"/>
        <v>0</v>
      </c>
      <c r="H55" s="35">
        <f t="shared" si="19"/>
        <v>0</v>
      </c>
      <c r="I55" s="35">
        <f t="shared" si="19"/>
        <v>0</v>
      </c>
      <c r="J55" s="35">
        <f t="shared" si="19"/>
        <v>0</v>
      </c>
      <c r="K55" s="35">
        <f t="shared" si="19"/>
        <v>0</v>
      </c>
      <c r="L55" s="35">
        <f t="shared" si="19"/>
        <v>0</v>
      </c>
      <c r="M55" s="35">
        <f t="shared" si="19"/>
        <v>0</v>
      </c>
      <c r="N55" s="35">
        <f t="shared" si="19"/>
        <v>0</v>
      </c>
      <c r="O55" s="35">
        <f t="shared" si="19"/>
        <v>0</v>
      </c>
      <c r="P55" s="35">
        <f t="shared" si="20"/>
        <v>0</v>
      </c>
      <c r="Q55" s="35">
        <f t="shared" si="20"/>
        <v>0</v>
      </c>
      <c r="R55" s="35">
        <f t="shared" si="20"/>
        <v>0</v>
      </c>
      <c r="S55" s="35">
        <f t="shared" si="20"/>
        <v>0</v>
      </c>
      <c r="T55" s="35">
        <f t="shared" si="20"/>
        <v>0</v>
      </c>
      <c r="U55" s="35">
        <f t="shared" si="20"/>
        <v>0</v>
      </c>
      <c r="V55" s="35">
        <f t="shared" si="20"/>
        <v>0</v>
      </c>
      <c r="W55" s="35">
        <f t="shared" si="20"/>
        <v>0</v>
      </c>
      <c r="X55" s="35">
        <f t="shared" si="20"/>
        <v>0</v>
      </c>
      <c r="Y55" s="35">
        <f t="shared" si="20"/>
        <v>0</v>
      </c>
      <c r="Z55" s="35">
        <f t="shared" si="21"/>
        <v>0</v>
      </c>
      <c r="AA55" s="35">
        <f t="shared" si="21"/>
        <v>35156</v>
      </c>
      <c r="AB55" s="35">
        <f t="shared" si="21"/>
        <v>35156</v>
      </c>
      <c r="AC55" s="35">
        <f t="shared" si="21"/>
        <v>35156</v>
      </c>
      <c r="AD55" s="35">
        <f t="shared" si="21"/>
        <v>35156</v>
      </c>
      <c r="AE55" s="35">
        <f t="shared" si="21"/>
        <v>35156</v>
      </c>
      <c r="AF55" s="35">
        <f t="shared" si="21"/>
        <v>35156</v>
      </c>
      <c r="AG55" s="35">
        <f t="shared" si="21"/>
        <v>35156</v>
      </c>
      <c r="AH55" s="35">
        <f t="shared" si="21"/>
        <v>0</v>
      </c>
      <c r="AI55" s="35">
        <f t="shared" si="21"/>
        <v>0</v>
      </c>
      <c r="AJ55" s="35">
        <f t="shared" si="22"/>
        <v>0</v>
      </c>
      <c r="AK55" s="35">
        <f t="shared" si="22"/>
        <v>0</v>
      </c>
      <c r="AL55" s="35">
        <f t="shared" si="22"/>
        <v>0</v>
      </c>
      <c r="AM55" s="35">
        <f t="shared" si="22"/>
        <v>0</v>
      </c>
      <c r="AN55" s="35">
        <f t="shared" si="22"/>
        <v>0</v>
      </c>
      <c r="AO55" s="35">
        <f t="shared" si="22"/>
        <v>0</v>
      </c>
      <c r="AP55" s="35">
        <f t="shared" si="22"/>
        <v>0</v>
      </c>
      <c r="AQ55" s="35">
        <f t="shared" si="22"/>
        <v>0</v>
      </c>
      <c r="AR55" s="35">
        <f t="shared" si="22"/>
        <v>0</v>
      </c>
      <c r="AS55" s="35">
        <f t="shared" si="22"/>
        <v>0</v>
      </c>
      <c r="AT55" s="35">
        <f t="shared" si="23"/>
        <v>0</v>
      </c>
      <c r="AU55" s="35">
        <f t="shared" si="23"/>
        <v>0</v>
      </c>
      <c r="AV55" s="35">
        <f t="shared" si="23"/>
        <v>0</v>
      </c>
      <c r="AW55" s="35">
        <f t="shared" si="23"/>
        <v>0</v>
      </c>
      <c r="AX55" s="35">
        <f t="shared" si="23"/>
        <v>0</v>
      </c>
      <c r="AY55" s="35">
        <f t="shared" si="23"/>
        <v>0</v>
      </c>
      <c r="AZ55" s="35">
        <f t="shared" si="23"/>
        <v>0</v>
      </c>
      <c r="BA55" s="35">
        <f t="shared" si="23"/>
        <v>0</v>
      </c>
      <c r="BB55" s="35">
        <f t="shared" si="23"/>
        <v>0</v>
      </c>
      <c r="BC55" s="35">
        <f t="shared" si="23"/>
        <v>0</v>
      </c>
      <c r="BD55" s="35">
        <f t="shared" si="23"/>
        <v>0</v>
      </c>
      <c r="BE55" s="35">
        <f t="shared" si="23"/>
        <v>0</v>
      </c>
      <c r="BF55" s="35">
        <f t="shared" si="23"/>
        <v>0</v>
      </c>
      <c r="BG55" s="35">
        <f t="shared" si="23"/>
        <v>0</v>
      </c>
    </row>
    <row r="56" spans="1:59" ht="13" x14ac:dyDescent="0.3">
      <c r="A56" s="5" t="s">
        <v>406</v>
      </c>
    </row>
    <row r="57" spans="1:59" x14ac:dyDescent="0.25">
      <c r="A57" s="4" t="s">
        <v>407</v>
      </c>
      <c r="B57" s="26">
        <f>'Hard Costs'!$G$92</f>
        <v>57750</v>
      </c>
      <c r="C57" s="6">
        <v>12</v>
      </c>
      <c r="D57" s="6">
        <v>15</v>
      </c>
      <c r="F57" s="35">
        <f t="shared" ref="F57:O71" si="24">IF(AND(F$12-$B$7&gt;=$C57,F$12-$B$7&lt;=$D57),$B57/($D57-$C57+1),0)</f>
        <v>0</v>
      </c>
      <c r="G57" s="35">
        <f t="shared" si="24"/>
        <v>0</v>
      </c>
      <c r="H57" s="35">
        <f t="shared" si="24"/>
        <v>0</v>
      </c>
      <c r="I57" s="35">
        <f t="shared" si="24"/>
        <v>0</v>
      </c>
      <c r="J57" s="35">
        <f t="shared" si="24"/>
        <v>0</v>
      </c>
      <c r="K57" s="35">
        <f t="shared" si="24"/>
        <v>0</v>
      </c>
      <c r="L57" s="35">
        <f t="shared" si="24"/>
        <v>0</v>
      </c>
      <c r="M57" s="35">
        <f t="shared" si="24"/>
        <v>0</v>
      </c>
      <c r="N57" s="35">
        <f t="shared" si="24"/>
        <v>0</v>
      </c>
      <c r="O57" s="35">
        <f t="shared" si="24"/>
        <v>0</v>
      </c>
      <c r="P57" s="35">
        <f t="shared" ref="P57:Y71" si="25">IF(AND(P$12-$B$7&gt;=$C57,P$12-$B$7&lt;=$D57),$B57/($D57-$C57+1),0)</f>
        <v>0</v>
      </c>
      <c r="Q57" s="35">
        <f t="shared" si="25"/>
        <v>0</v>
      </c>
      <c r="R57" s="35">
        <f t="shared" si="25"/>
        <v>0</v>
      </c>
      <c r="S57" s="35">
        <f t="shared" si="25"/>
        <v>0</v>
      </c>
      <c r="T57" s="35">
        <f t="shared" si="25"/>
        <v>0</v>
      </c>
      <c r="U57" s="35">
        <f t="shared" si="25"/>
        <v>0</v>
      </c>
      <c r="V57" s="35">
        <f t="shared" si="25"/>
        <v>0</v>
      </c>
      <c r="W57" s="35">
        <f t="shared" si="25"/>
        <v>0</v>
      </c>
      <c r="X57" s="35">
        <f t="shared" si="25"/>
        <v>0</v>
      </c>
      <c r="Y57" s="35">
        <f t="shared" si="25"/>
        <v>0</v>
      </c>
      <c r="Z57" s="35">
        <f t="shared" ref="Z57:AI71" si="26">IF(AND(Z$12-$B$7&gt;=$C57,Z$12-$B$7&lt;=$D57),$B57/($D57-$C57+1),0)</f>
        <v>0</v>
      </c>
      <c r="AA57" s="35">
        <f t="shared" si="26"/>
        <v>0</v>
      </c>
      <c r="AB57" s="35">
        <f t="shared" si="26"/>
        <v>0</v>
      </c>
      <c r="AC57" s="35">
        <f t="shared" si="26"/>
        <v>0</v>
      </c>
      <c r="AD57" s="35">
        <f t="shared" si="26"/>
        <v>14437.5</v>
      </c>
      <c r="AE57" s="35">
        <f t="shared" si="26"/>
        <v>14437.5</v>
      </c>
      <c r="AF57" s="35">
        <f t="shared" si="26"/>
        <v>14437.5</v>
      </c>
      <c r="AG57" s="35">
        <f t="shared" si="26"/>
        <v>14437.5</v>
      </c>
      <c r="AH57" s="35">
        <f t="shared" si="26"/>
        <v>0</v>
      </c>
      <c r="AI57" s="35">
        <f t="shared" si="26"/>
        <v>0</v>
      </c>
      <c r="AJ57" s="35">
        <f t="shared" ref="AJ57:AS71" si="27">IF(AND(AJ$12-$B$7&gt;=$C57,AJ$12-$B$7&lt;=$D57),$B57/($D57-$C57+1),0)</f>
        <v>0</v>
      </c>
      <c r="AK57" s="35">
        <f t="shared" si="27"/>
        <v>0</v>
      </c>
      <c r="AL57" s="35">
        <f t="shared" si="27"/>
        <v>0</v>
      </c>
      <c r="AM57" s="35">
        <f t="shared" si="27"/>
        <v>0</v>
      </c>
      <c r="AN57" s="35">
        <f t="shared" si="27"/>
        <v>0</v>
      </c>
      <c r="AO57" s="35">
        <f t="shared" si="27"/>
        <v>0</v>
      </c>
      <c r="AP57" s="35">
        <f t="shared" si="27"/>
        <v>0</v>
      </c>
      <c r="AQ57" s="35">
        <f t="shared" si="27"/>
        <v>0</v>
      </c>
      <c r="AR57" s="35">
        <f t="shared" si="27"/>
        <v>0</v>
      </c>
      <c r="AS57" s="35">
        <f t="shared" si="27"/>
        <v>0</v>
      </c>
      <c r="AT57" s="35">
        <f t="shared" ref="AT57:BG71" si="28">IF(AND(AT$12-$B$7&gt;=$C57,AT$12-$B$7&lt;=$D57),$B57/($D57-$C57+1),0)</f>
        <v>0</v>
      </c>
      <c r="AU57" s="35">
        <f t="shared" si="28"/>
        <v>0</v>
      </c>
      <c r="AV57" s="35">
        <f t="shared" si="28"/>
        <v>0</v>
      </c>
      <c r="AW57" s="35">
        <f t="shared" si="28"/>
        <v>0</v>
      </c>
      <c r="AX57" s="35">
        <f t="shared" si="28"/>
        <v>0</v>
      </c>
      <c r="AY57" s="35">
        <f t="shared" si="28"/>
        <v>0</v>
      </c>
      <c r="AZ57" s="35">
        <f t="shared" si="28"/>
        <v>0</v>
      </c>
      <c r="BA57" s="35">
        <f t="shared" si="28"/>
        <v>0</v>
      </c>
      <c r="BB57" s="35">
        <f t="shared" si="28"/>
        <v>0</v>
      </c>
      <c r="BC57" s="35">
        <f t="shared" si="28"/>
        <v>0</v>
      </c>
      <c r="BD57" s="35">
        <f t="shared" si="28"/>
        <v>0</v>
      </c>
      <c r="BE57" s="35">
        <f t="shared" si="28"/>
        <v>0</v>
      </c>
      <c r="BF57" s="35">
        <f t="shared" si="28"/>
        <v>0</v>
      </c>
      <c r="BG57" s="35">
        <f t="shared" si="28"/>
        <v>0</v>
      </c>
    </row>
    <row r="58" spans="1:59" x14ac:dyDescent="0.25">
      <c r="A58" s="4" t="s">
        <v>408</v>
      </c>
      <c r="B58" s="26">
        <f>'Hard Costs'!$G$93</f>
        <v>54450</v>
      </c>
      <c r="C58" s="6">
        <v>13</v>
      </c>
      <c r="D58" s="6">
        <v>16</v>
      </c>
      <c r="F58" s="35">
        <f t="shared" si="24"/>
        <v>0</v>
      </c>
      <c r="G58" s="35">
        <f t="shared" si="24"/>
        <v>0</v>
      </c>
      <c r="H58" s="35">
        <f t="shared" si="24"/>
        <v>0</v>
      </c>
      <c r="I58" s="35">
        <f t="shared" si="24"/>
        <v>0</v>
      </c>
      <c r="J58" s="35">
        <f t="shared" si="24"/>
        <v>0</v>
      </c>
      <c r="K58" s="35">
        <f t="shared" si="24"/>
        <v>0</v>
      </c>
      <c r="L58" s="35">
        <f t="shared" si="24"/>
        <v>0</v>
      </c>
      <c r="M58" s="35">
        <f t="shared" si="24"/>
        <v>0</v>
      </c>
      <c r="N58" s="35">
        <f t="shared" si="24"/>
        <v>0</v>
      </c>
      <c r="O58" s="35">
        <f t="shared" si="24"/>
        <v>0</v>
      </c>
      <c r="P58" s="35">
        <f t="shared" si="25"/>
        <v>0</v>
      </c>
      <c r="Q58" s="35">
        <f t="shared" si="25"/>
        <v>0</v>
      </c>
      <c r="R58" s="35">
        <f t="shared" si="25"/>
        <v>0</v>
      </c>
      <c r="S58" s="35">
        <f t="shared" si="25"/>
        <v>0</v>
      </c>
      <c r="T58" s="35">
        <f t="shared" si="25"/>
        <v>0</v>
      </c>
      <c r="U58" s="35">
        <f t="shared" si="25"/>
        <v>0</v>
      </c>
      <c r="V58" s="35">
        <f t="shared" si="25"/>
        <v>0</v>
      </c>
      <c r="W58" s="35">
        <f t="shared" si="25"/>
        <v>0</v>
      </c>
      <c r="X58" s="35">
        <f t="shared" si="25"/>
        <v>0</v>
      </c>
      <c r="Y58" s="35">
        <f t="shared" si="25"/>
        <v>0</v>
      </c>
      <c r="Z58" s="35">
        <f t="shared" si="26"/>
        <v>0</v>
      </c>
      <c r="AA58" s="35">
        <f t="shared" si="26"/>
        <v>0</v>
      </c>
      <c r="AB58" s="35">
        <f t="shared" si="26"/>
        <v>0</v>
      </c>
      <c r="AC58" s="35">
        <f t="shared" si="26"/>
        <v>0</v>
      </c>
      <c r="AD58" s="35">
        <f t="shared" si="26"/>
        <v>0</v>
      </c>
      <c r="AE58" s="35">
        <f t="shared" si="26"/>
        <v>13612.5</v>
      </c>
      <c r="AF58" s="35">
        <f t="shared" si="26"/>
        <v>13612.5</v>
      </c>
      <c r="AG58" s="35">
        <f t="shared" si="26"/>
        <v>13612.5</v>
      </c>
      <c r="AH58" s="35">
        <f t="shared" si="26"/>
        <v>13612.5</v>
      </c>
      <c r="AI58" s="35">
        <f t="shared" si="26"/>
        <v>0</v>
      </c>
      <c r="AJ58" s="35">
        <f t="shared" si="27"/>
        <v>0</v>
      </c>
      <c r="AK58" s="35">
        <f t="shared" si="27"/>
        <v>0</v>
      </c>
      <c r="AL58" s="35">
        <f t="shared" si="27"/>
        <v>0</v>
      </c>
      <c r="AM58" s="35">
        <f t="shared" si="27"/>
        <v>0</v>
      </c>
      <c r="AN58" s="35">
        <f t="shared" si="27"/>
        <v>0</v>
      </c>
      <c r="AO58" s="35">
        <f t="shared" si="27"/>
        <v>0</v>
      </c>
      <c r="AP58" s="35">
        <f t="shared" si="27"/>
        <v>0</v>
      </c>
      <c r="AQ58" s="35">
        <f t="shared" si="27"/>
        <v>0</v>
      </c>
      <c r="AR58" s="35">
        <f t="shared" si="27"/>
        <v>0</v>
      </c>
      <c r="AS58" s="35">
        <f t="shared" si="27"/>
        <v>0</v>
      </c>
      <c r="AT58" s="35">
        <f t="shared" si="28"/>
        <v>0</v>
      </c>
      <c r="AU58" s="35">
        <f t="shared" si="28"/>
        <v>0</v>
      </c>
      <c r="AV58" s="35">
        <f t="shared" si="28"/>
        <v>0</v>
      </c>
      <c r="AW58" s="35">
        <f t="shared" si="28"/>
        <v>0</v>
      </c>
      <c r="AX58" s="35">
        <f t="shared" si="28"/>
        <v>0</v>
      </c>
      <c r="AY58" s="35">
        <f t="shared" si="28"/>
        <v>0</v>
      </c>
      <c r="AZ58" s="35">
        <f t="shared" si="28"/>
        <v>0</v>
      </c>
      <c r="BA58" s="35">
        <f t="shared" si="28"/>
        <v>0</v>
      </c>
      <c r="BB58" s="35">
        <f t="shared" si="28"/>
        <v>0</v>
      </c>
      <c r="BC58" s="35">
        <f t="shared" si="28"/>
        <v>0</v>
      </c>
      <c r="BD58" s="35">
        <f t="shared" si="28"/>
        <v>0</v>
      </c>
      <c r="BE58" s="35">
        <f t="shared" si="28"/>
        <v>0</v>
      </c>
      <c r="BF58" s="35">
        <f t="shared" si="28"/>
        <v>0</v>
      </c>
      <c r="BG58" s="35">
        <f t="shared" si="28"/>
        <v>0</v>
      </c>
    </row>
    <row r="59" spans="1:59" x14ac:dyDescent="0.25">
      <c r="A59" s="4" t="s">
        <v>409</v>
      </c>
      <c r="B59" s="26">
        <f>'Hard Costs'!$G$94</f>
        <v>22500</v>
      </c>
      <c r="C59" s="6">
        <v>16</v>
      </c>
      <c r="D59" s="6">
        <v>17</v>
      </c>
      <c r="F59" s="35">
        <f t="shared" si="24"/>
        <v>0</v>
      </c>
      <c r="G59" s="35">
        <f t="shared" si="24"/>
        <v>0</v>
      </c>
      <c r="H59" s="35">
        <f t="shared" si="24"/>
        <v>0</v>
      </c>
      <c r="I59" s="35">
        <f t="shared" si="24"/>
        <v>0</v>
      </c>
      <c r="J59" s="35">
        <f t="shared" si="24"/>
        <v>0</v>
      </c>
      <c r="K59" s="35">
        <f t="shared" si="24"/>
        <v>0</v>
      </c>
      <c r="L59" s="35">
        <f t="shared" si="24"/>
        <v>0</v>
      </c>
      <c r="M59" s="35">
        <f t="shared" si="24"/>
        <v>0</v>
      </c>
      <c r="N59" s="35">
        <f t="shared" si="24"/>
        <v>0</v>
      </c>
      <c r="O59" s="35">
        <f t="shared" si="24"/>
        <v>0</v>
      </c>
      <c r="P59" s="35">
        <f t="shared" si="25"/>
        <v>0</v>
      </c>
      <c r="Q59" s="35">
        <f t="shared" si="25"/>
        <v>0</v>
      </c>
      <c r="R59" s="35">
        <f t="shared" si="25"/>
        <v>0</v>
      </c>
      <c r="S59" s="35">
        <f t="shared" si="25"/>
        <v>0</v>
      </c>
      <c r="T59" s="35">
        <f t="shared" si="25"/>
        <v>0</v>
      </c>
      <c r="U59" s="35">
        <f t="shared" si="25"/>
        <v>0</v>
      </c>
      <c r="V59" s="35">
        <f t="shared" si="25"/>
        <v>0</v>
      </c>
      <c r="W59" s="35">
        <f t="shared" si="25"/>
        <v>0</v>
      </c>
      <c r="X59" s="35">
        <f t="shared" si="25"/>
        <v>0</v>
      </c>
      <c r="Y59" s="35">
        <f t="shared" si="25"/>
        <v>0</v>
      </c>
      <c r="Z59" s="35">
        <f t="shared" si="26"/>
        <v>0</v>
      </c>
      <c r="AA59" s="35">
        <f t="shared" si="26"/>
        <v>0</v>
      </c>
      <c r="AB59" s="35">
        <f t="shared" si="26"/>
        <v>0</v>
      </c>
      <c r="AC59" s="35">
        <f t="shared" si="26"/>
        <v>0</v>
      </c>
      <c r="AD59" s="35">
        <f t="shared" si="26"/>
        <v>0</v>
      </c>
      <c r="AE59" s="35">
        <f t="shared" si="26"/>
        <v>0</v>
      </c>
      <c r="AF59" s="35">
        <f t="shared" si="26"/>
        <v>0</v>
      </c>
      <c r="AG59" s="35">
        <f t="shared" si="26"/>
        <v>0</v>
      </c>
      <c r="AH59" s="35">
        <f t="shared" si="26"/>
        <v>11250</v>
      </c>
      <c r="AI59" s="35">
        <f t="shared" si="26"/>
        <v>11250</v>
      </c>
      <c r="AJ59" s="35">
        <f t="shared" si="27"/>
        <v>0</v>
      </c>
      <c r="AK59" s="35">
        <f t="shared" si="27"/>
        <v>0</v>
      </c>
      <c r="AL59" s="35">
        <f t="shared" si="27"/>
        <v>0</v>
      </c>
      <c r="AM59" s="35">
        <f t="shared" si="27"/>
        <v>0</v>
      </c>
      <c r="AN59" s="35">
        <f t="shared" si="27"/>
        <v>0</v>
      </c>
      <c r="AO59" s="35">
        <f t="shared" si="27"/>
        <v>0</v>
      </c>
      <c r="AP59" s="35">
        <f t="shared" si="27"/>
        <v>0</v>
      </c>
      <c r="AQ59" s="35">
        <f t="shared" si="27"/>
        <v>0</v>
      </c>
      <c r="AR59" s="35">
        <f t="shared" si="27"/>
        <v>0</v>
      </c>
      <c r="AS59" s="35">
        <f t="shared" si="27"/>
        <v>0</v>
      </c>
      <c r="AT59" s="35">
        <f t="shared" si="28"/>
        <v>0</v>
      </c>
      <c r="AU59" s="35">
        <f t="shared" si="28"/>
        <v>0</v>
      </c>
      <c r="AV59" s="35">
        <f t="shared" si="28"/>
        <v>0</v>
      </c>
      <c r="AW59" s="35">
        <f t="shared" si="28"/>
        <v>0</v>
      </c>
      <c r="AX59" s="35">
        <f t="shared" si="28"/>
        <v>0</v>
      </c>
      <c r="AY59" s="35">
        <f t="shared" si="28"/>
        <v>0</v>
      </c>
      <c r="AZ59" s="35">
        <f t="shared" si="28"/>
        <v>0</v>
      </c>
      <c r="BA59" s="35">
        <f t="shared" si="28"/>
        <v>0</v>
      </c>
      <c r="BB59" s="35">
        <f t="shared" si="28"/>
        <v>0</v>
      </c>
      <c r="BC59" s="35">
        <f t="shared" si="28"/>
        <v>0</v>
      </c>
      <c r="BD59" s="35">
        <f t="shared" si="28"/>
        <v>0</v>
      </c>
      <c r="BE59" s="35">
        <f t="shared" si="28"/>
        <v>0</v>
      </c>
      <c r="BF59" s="35">
        <f t="shared" si="28"/>
        <v>0</v>
      </c>
      <c r="BG59" s="35">
        <f t="shared" si="28"/>
        <v>0</v>
      </c>
    </row>
    <row r="60" spans="1:59" x14ac:dyDescent="0.25">
      <c r="A60" s="4" t="s">
        <v>410</v>
      </c>
      <c r="B60" s="26">
        <f>'Hard Costs'!$G$95</f>
        <v>56400</v>
      </c>
      <c r="C60" s="6">
        <v>16</v>
      </c>
      <c r="D60" s="6">
        <v>18</v>
      </c>
      <c r="F60" s="35">
        <f t="shared" si="24"/>
        <v>0</v>
      </c>
      <c r="G60" s="35">
        <f t="shared" si="24"/>
        <v>0</v>
      </c>
      <c r="H60" s="35">
        <f t="shared" si="24"/>
        <v>0</v>
      </c>
      <c r="I60" s="35">
        <f t="shared" si="24"/>
        <v>0</v>
      </c>
      <c r="J60" s="35">
        <f t="shared" si="24"/>
        <v>0</v>
      </c>
      <c r="K60" s="35">
        <f t="shared" si="24"/>
        <v>0</v>
      </c>
      <c r="L60" s="35">
        <f t="shared" si="24"/>
        <v>0</v>
      </c>
      <c r="M60" s="35">
        <f t="shared" si="24"/>
        <v>0</v>
      </c>
      <c r="N60" s="35">
        <f t="shared" si="24"/>
        <v>0</v>
      </c>
      <c r="O60" s="35">
        <f t="shared" si="24"/>
        <v>0</v>
      </c>
      <c r="P60" s="35">
        <f t="shared" si="25"/>
        <v>0</v>
      </c>
      <c r="Q60" s="35">
        <f t="shared" si="25"/>
        <v>0</v>
      </c>
      <c r="R60" s="35">
        <f t="shared" si="25"/>
        <v>0</v>
      </c>
      <c r="S60" s="35">
        <f t="shared" si="25"/>
        <v>0</v>
      </c>
      <c r="T60" s="35">
        <f t="shared" si="25"/>
        <v>0</v>
      </c>
      <c r="U60" s="35">
        <f t="shared" si="25"/>
        <v>0</v>
      </c>
      <c r="V60" s="35">
        <f t="shared" si="25"/>
        <v>0</v>
      </c>
      <c r="W60" s="35">
        <f t="shared" si="25"/>
        <v>0</v>
      </c>
      <c r="X60" s="35">
        <f t="shared" si="25"/>
        <v>0</v>
      </c>
      <c r="Y60" s="35">
        <f t="shared" si="25"/>
        <v>0</v>
      </c>
      <c r="Z60" s="35">
        <f t="shared" si="26"/>
        <v>0</v>
      </c>
      <c r="AA60" s="35">
        <f t="shared" si="26"/>
        <v>0</v>
      </c>
      <c r="AB60" s="35">
        <f t="shared" si="26"/>
        <v>0</v>
      </c>
      <c r="AC60" s="35">
        <f t="shared" si="26"/>
        <v>0</v>
      </c>
      <c r="AD60" s="35">
        <f t="shared" si="26"/>
        <v>0</v>
      </c>
      <c r="AE60" s="35">
        <f t="shared" si="26"/>
        <v>0</v>
      </c>
      <c r="AF60" s="35">
        <f t="shared" si="26"/>
        <v>0</v>
      </c>
      <c r="AG60" s="35">
        <f t="shared" si="26"/>
        <v>0</v>
      </c>
      <c r="AH60" s="35">
        <f t="shared" si="26"/>
        <v>18800</v>
      </c>
      <c r="AI60" s="35">
        <f t="shared" si="26"/>
        <v>18800</v>
      </c>
      <c r="AJ60" s="35">
        <f t="shared" si="27"/>
        <v>18800</v>
      </c>
      <c r="AK60" s="35">
        <f t="shared" si="27"/>
        <v>0</v>
      </c>
      <c r="AL60" s="35">
        <f t="shared" si="27"/>
        <v>0</v>
      </c>
      <c r="AM60" s="35">
        <f t="shared" si="27"/>
        <v>0</v>
      </c>
      <c r="AN60" s="35">
        <f t="shared" si="27"/>
        <v>0</v>
      </c>
      <c r="AO60" s="35">
        <f t="shared" si="27"/>
        <v>0</v>
      </c>
      <c r="AP60" s="35">
        <f t="shared" si="27"/>
        <v>0</v>
      </c>
      <c r="AQ60" s="35">
        <f t="shared" si="27"/>
        <v>0</v>
      </c>
      <c r="AR60" s="35">
        <f t="shared" si="27"/>
        <v>0</v>
      </c>
      <c r="AS60" s="35">
        <f t="shared" si="27"/>
        <v>0</v>
      </c>
      <c r="AT60" s="35">
        <f t="shared" si="28"/>
        <v>0</v>
      </c>
      <c r="AU60" s="35">
        <f t="shared" si="28"/>
        <v>0</v>
      </c>
      <c r="AV60" s="35">
        <f t="shared" si="28"/>
        <v>0</v>
      </c>
      <c r="AW60" s="35">
        <f t="shared" si="28"/>
        <v>0</v>
      </c>
      <c r="AX60" s="35">
        <f t="shared" si="28"/>
        <v>0</v>
      </c>
      <c r="AY60" s="35">
        <f t="shared" si="28"/>
        <v>0</v>
      </c>
      <c r="AZ60" s="35">
        <f t="shared" si="28"/>
        <v>0</v>
      </c>
      <c r="BA60" s="35">
        <f t="shared" si="28"/>
        <v>0</v>
      </c>
      <c r="BB60" s="35">
        <f t="shared" si="28"/>
        <v>0</v>
      </c>
      <c r="BC60" s="35">
        <f t="shared" si="28"/>
        <v>0</v>
      </c>
      <c r="BD60" s="35">
        <f t="shared" si="28"/>
        <v>0</v>
      </c>
      <c r="BE60" s="35">
        <f t="shared" si="28"/>
        <v>0</v>
      </c>
      <c r="BF60" s="35">
        <f t="shared" si="28"/>
        <v>0</v>
      </c>
      <c r="BG60" s="35">
        <f t="shared" si="28"/>
        <v>0</v>
      </c>
    </row>
    <row r="61" spans="1:59" x14ac:dyDescent="0.25">
      <c r="A61" s="4" t="s">
        <v>411</v>
      </c>
      <c r="B61" s="26">
        <f>'Hard Costs'!$G$96</f>
        <v>68790</v>
      </c>
      <c r="C61" s="6">
        <v>17</v>
      </c>
      <c r="D61" s="6">
        <v>19</v>
      </c>
      <c r="F61" s="35">
        <f t="shared" si="24"/>
        <v>0</v>
      </c>
      <c r="G61" s="35">
        <f t="shared" si="24"/>
        <v>0</v>
      </c>
      <c r="H61" s="35">
        <f t="shared" si="24"/>
        <v>0</v>
      </c>
      <c r="I61" s="35">
        <f t="shared" si="24"/>
        <v>0</v>
      </c>
      <c r="J61" s="35">
        <f t="shared" si="24"/>
        <v>0</v>
      </c>
      <c r="K61" s="35">
        <f t="shared" si="24"/>
        <v>0</v>
      </c>
      <c r="L61" s="35">
        <f t="shared" si="24"/>
        <v>0</v>
      </c>
      <c r="M61" s="35">
        <f t="shared" si="24"/>
        <v>0</v>
      </c>
      <c r="N61" s="35">
        <f t="shared" si="24"/>
        <v>0</v>
      </c>
      <c r="O61" s="35">
        <f t="shared" si="24"/>
        <v>0</v>
      </c>
      <c r="P61" s="35">
        <f t="shared" si="25"/>
        <v>0</v>
      </c>
      <c r="Q61" s="35">
        <f t="shared" si="25"/>
        <v>0</v>
      </c>
      <c r="R61" s="35">
        <f t="shared" si="25"/>
        <v>0</v>
      </c>
      <c r="S61" s="35">
        <f t="shared" si="25"/>
        <v>0</v>
      </c>
      <c r="T61" s="35">
        <f t="shared" si="25"/>
        <v>0</v>
      </c>
      <c r="U61" s="35">
        <f t="shared" si="25"/>
        <v>0</v>
      </c>
      <c r="V61" s="35">
        <f t="shared" si="25"/>
        <v>0</v>
      </c>
      <c r="W61" s="35">
        <f t="shared" si="25"/>
        <v>0</v>
      </c>
      <c r="X61" s="35">
        <f t="shared" si="25"/>
        <v>0</v>
      </c>
      <c r="Y61" s="35">
        <f t="shared" si="25"/>
        <v>0</v>
      </c>
      <c r="Z61" s="35">
        <f t="shared" si="26"/>
        <v>0</v>
      </c>
      <c r="AA61" s="35">
        <f t="shared" si="26"/>
        <v>0</v>
      </c>
      <c r="AB61" s="35">
        <f t="shared" si="26"/>
        <v>0</v>
      </c>
      <c r="AC61" s="35">
        <f t="shared" si="26"/>
        <v>0</v>
      </c>
      <c r="AD61" s="35">
        <f t="shared" si="26"/>
        <v>0</v>
      </c>
      <c r="AE61" s="35">
        <f t="shared" si="26"/>
        <v>0</v>
      </c>
      <c r="AF61" s="35">
        <f t="shared" si="26"/>
        <v>0</v>
      </c>
      <c r="AG61" s="35">
        <f t="shared" si="26"/>
        <v>0</v>
      </c>
      <c r="AH61" s="35">
        <f t="shared" si="26"/>
        <v>0</v>
      </c>
      <c r="AI61" s="35">
        <f t="shared" si="26"/>
        <v>22930</v>
      </c>
      <c r="AJ61" s="35">
        <f t="shared" si="27"/>
        <v>22930</v>
      </c>
      <c r="AK61" s="35">
        <f t="shared" si="27"/>
        <v>22930</v>
      </c>
      <c r="AL61" s="35">
        <f t="shared" si="27"/>
        <v>0</v>
      </c>
      <c r="AM61" s="35">
        <f t="shared" si="27"/>
        <v>0</v>
      </c>
      <c r="AN61" s="35">
        <f t="shared" si="27"/>
        <v>0</v>
      </c>
      <c r="AO61" s="35">
        <f t="shared" si="27"/>
        <v>0</v>
      </c>
      <c r="AP61" s="35">
        <f t="shared" si="27"/>
        <v>0</v>
      </c>
      <c r="AQ61" s="35">
        <f t="shared" si="27"/>
        <v>0</v>
      </c>
      <c r="AR61" s="35">
        <f t="shared" si="27"/>
        <v>0</v>
      </c>
      <c r="AS61" s="35">
        <f t="shared" si="27"/>
        <v>0</v>
      </c>
      <c r="AT61" s="35">
        <f t="shared" si="28"/>
        <v>0</v>
      </c>
      <c r="AU61" s="35">
        <f t="shared" si="28"/>
        <v>0</v>
      </c>
      <c r="AV61" s="35">
        <f t="shared" si="28"/>
        <v>0</v>
      </c>
      <c r="AW61" s="35">
        <f t="shared" si="28"/>
        <v>0</v>
      </c>
      <c r="AX61" s="35">
        <f t="shared" si="28"/>
        <v>0</v>
      </c>
      <c r="AY61" s="35">
        <f t="shared" si="28"/>
        <v>0</v>
      </c>
      <c r="AZ61" s="35">
        <f t="shared" si="28"/>
        <v>0</v>
      </c>
      <c r="BA61" s="35">
        <f t="shared" si="28"/>
        <v>0</v>
      </c>
      <c r="BB61" s="35">
        <f t="shared" si="28"/>
        <v>0</v>
      </c>
      <c r="BC61" s="35">
        <f t="shared" si="28"/>
        <v>0</v>
      </c>
      <c r="BD61" s="35">
        <f t="shared" si="28"/>
        <v>0</v>
      </c>
      <c r="BE61" s="35">
        <f t="shared" si="28"/>
        <v>0</v>
      </c>
      <c r="BF61" s="35">
        <f t="shared" si="28"/>
        <v>0</v>
      </c>
      <c r="BG61" s="35">
        <f t="shared" si="28"/>
        <v>0</v>
      </c>
    </row>
    <row r="62" spans="1:59" x14ac:dyDescent="0.25">
      <c r="A62" s="4" t="s">
        <v>412</v>
      </c>
      <c r="B62" s="26">
        <f>'Hard Costs'!$G$97</f>
        <v>90000</v>
      </c>
      <c r="C62" s="6">
        <v>18</v>
      </c>
      <c r="D62" s="6">
        <v>19</v>
      </c>
      <c r="F62" s="35">
        <f t="shared" si="24"/>
        <v>0</v>
      </c>
      <c r="G62" s="35">
        <f t="shared" si="24"/>
        <v>0</v>
      </c>
      <c r="H62" s="35">
        <f t="shared" si="24"/>
        <v>0</v>
      </c>
      <c r="I62" s="35">
        <f t="shared" si="24"/>
        <v>0</v>
      </c>
      <c r="J62" s="35">
        <f t="shared" si="24"/>
        <v>0</v>
      </c>
      <c r="K62" s="35">
        <f t="shared" si="24"/>
        <v>0</v>
      </c>
      <c r="L62" s="35">
        <f t="shared" si="24"/>
        <v>0</v>
      </c>
      <c r="M62" s="35">
        <f t="shared" si="24"/>
        <v>0</v>
      </c>
      <c r="N62" s="35">
        <f t="shared" si="24"/>
        <v>0</v>
      </c>
      <c r="O62" s="35">
        <f t="shared" si="24"/>
        <v>0</v>
      </c>
      <c r="P62" s="35">
        <f t="shared" si="25"/>
        <v>0</v>
      </c>
      <c r="Q62" s="35">
        <f t="shared" si="25"/>
        <v>0</v>
      </c>
      <c r="R62" s="35">
        <f t="shared" si="25"/>
        <v>0</v>
      </c>
      <c r="S62" s="35">
        <f t="shared" si="25"/>
        <v>0</v>
      </c>
      <c r="T62" s="35">
        <f t="shared" si="25"/>
        <v>0</v>
      </c>
      <c r="U62" s="35">
        <f t="shared" si="25"/>
        <v>0</v>
      </c>
      <c r="V62" s="35">
        <f t="shared" si="25"/>
        <v>0</v>
      </c>
      <c r="W62" s="35">
        <f t="shared" si="25"/>
        <v>0</v>
      </c>
      <c r="X62" s="35">
        <f t="shared" si="25"/>
        <v>0</v>
      </c>
      <c r="Y62" s="35">
        <f t="shared" si="25"/>
        <v>0</v>
      </c>
      <c r="Z62" s="35">
        <f t="shared" si="26"/>
        <v>0</v>
      </c>
      <c r="AA62" s="35">
        <f t="shared" si="26"/>
        <v>0</v>
      </c>
      <c r="AB62" s="35">
        <f t="shared" si="26"/>
        <v>0</v>
      </c>
      <c r="AC62" s="35">
        <f t="shared" si="26"/>
        <v>0</v>
      </c>
      <c r="AD62" s="35">
        <f t="shared" si="26"/>
        <v>0</v>
      </c>
      <c r="AE62" s="35">
        <f t="shared" si="26"/>
        <v>0</v>
      </c>
      <c r="AF62" s="35">
        <f t="shared" si="26"/>
        <v>0</v>
      </c>
      <c r="AG62" s="35">
        <f t="shared" si="26"/>
        <v>0</v>
      </c>
      <c r="AH62" s="35">
        <f t="shared" si="26"/>
        <v>0</v>
      </c>
      <c r="AI62" s="35">
        <f t="shared" si="26"/>
        <v>0</v>
      </c>
      <c r="AJ62" s="35">
        <f t="shared" si="27"/>
        <v>45000</v>
      </c>
      <c r="AK62" s="35">
        <f t="shared" si="27"/>
        <v>45000</v>
      </c>
      <c r="AL62" s="35">
        <f t="shared" si="27"/>
        <v>0</v>
      </c>
      <c r="AM62" s="35">
        <f t="shared" si="27"/>
        <v>0</v>
      </c>
      <c r="AN62" s="35">
        <f t="shared" si="27"/>
        <v>0</v>
      </c>
      <c r="AO62" s="35">
        <f t="shared" si="27"/>
        <v>0</v>
      </c>
      <c r="AP62" s="35">
        <f t="shared" si="27"/>
        <v>0</v>
      </c>
      <c r="AQ62" s="35">
        <f t="shared" si="27"/>
        <v>0</v>
      </c>
      <c r="AR62" s="35">
        <f t="shared" si="27"/>
        <v>0</v>
      </c>
      <c r="AS62" s="35">
        <f t="shared" si="27"/>
        <v>0</v>
      </c>
      <c r="AT62" s="35">
        <f t="shared" si="28"/>
        <v>0</v>
      </c>
      <c r="AU62" s="35">
        <f t="shared" si="28"/>
        <v>0</v>
      </c>
      <c r="AV62" s="35">
        <f t="shared" si="28"/>
        <v>0</v>
      </c>
      <c r="AW62" s="35">
        <f t="shared" si="28"/>
        <v>0</v>
      </c>
      <c r="AX62" s="35">
        <f t="shared" si="28"/>
        <v>0</v>
      </c>
      <c r="AY62" s="35">
        <f t="shared" si="28"/>
        <v>0</v>
      </c>
      <c r="AZ62" s="35">
        <f t="shared" si="28"/>
        <v>0</v>
      </c>
      <c r="BA62" s="35">
        <f t="shared" si="28"/>
        <v>0</v>
      </c>
      <c r="BB62" s="35">
        <f t="shared" si="28"/>
        <v>0</v>
      </c>
      <c r="BC62" s="35">
        <f t="shared" si="28"/>
        <v>0</v>
      </c>
      <c r="BD62" s="35">
        <f t="shared" si="28"/>
        <v>0</v>
      </c>
      <c r="BE62" s="35">
        <f t="shared" si="28"/>
        <v>0</v>
      </c>
      <c r="BF62" s="35">
        <f t="shared" si="28"/>
        <v>0</v>
      </c>
      <c r="BG62" s="35">
        <f t="shared" si="28"/>
        <v>0</v>
      </c>
    </row>
    <row r="63" spans="1:59" x14ac:dyDescent="0.25">
      <c r="A63" s="4" t="s">
        <v>413</v>
      </c>
      <c r="B63" s="26">
        <f>'Hard Costs'!$G$98</f>
        <v>206370</v>
      </c>
      <c r="C63" s="6">
        <v>17</v>
      </c>
      <c r="D63" s="6">
        <v>19</v>
      </c>
      <c r="F63" s="35">
        <f t="shared" si="24"/>
        <v>0</v>
      </c>
      <c r="G63" s="35">
        <f t="shared" si="24"/>
        <v>0</v>
      </c>
      <c r="H63" s="35">
        <f t="shared" si="24"/>
        <v>0</v>
      </c>
      <c r="I63" s="35">
        <f t="shared" si="24"/>
        <v>0</v>
      </c>
      <c r="J63" s="35">
        <f t="shared" si="24"/>
        <v>0</v>
      </c>
      <c r="K63" s="35">
        <f t="shared" si="24"/>
        <v>0</v>
      </c>
      <c r="L63" s="35">
        <f t="shared" si="24"/>
        <v>0</v>
      </c>
      <c r="M63" s="35">
        <f t="shared" si="24"/>
        <v>0</v>
      </c>
      <c r="N63" s="35">
        <f t="shared" si="24"/>
        <v>0</v>
      </c>
      <c r="O63" s="35">
        <f t="shared" si="24"/>
        <v>0</v>
      </c>
      <c r="P63" s="35">
        <f t="shared" si="25"/>
        <v>0</v>
      </c>
      <c r="Q63" s="35">
        <f t="shared" si="25"/>
        <v>0</v>
      </c>
      <c r="R63" s="35">
        <f t="shared" si="25"/>
        <v>0</v>
      </c>
      <c r="S63" s="35">
        <f t="shared" si="25"/>
        <v>0</v>
      </c>
      <c r="T63" s="35">
        <f t="shared" si="25"/>
        <v>0</v>
      </c>
      <c r="U63" s="35">
        <f t="shared" si="25"/>
        <v>0</v>
      </c>
      <c r="V63" s="35">
        <f t="shared" si="25"/>
        <v>0</v>
      </c>
      <c r="W63" s="35">
        <f t="shared" si="25"/>
        <v>0</v>
      </c>
      <c r="X63" s="35">
        <f t="shared" si="25"/>
        <v>0</v>
      </c>
      <c r="Y63" s="35">
        <f t="shared" si="25"/>
        <v>0</v>
      </c>
      <c r="Z63" s="35">
        <f t="shared" si="26"/>
        <v>0</v>
      </c>
      <c r="AA63" s="35">
        <f t="shared" si="26"/>
        <v>0</v>
      </c>
      <c r="AB63" s="35">
        <f t="shared" si="26"/>
        <v>0</v>
      </c>
      <c r="AC63" s="35">
        <f t="shared" si="26"/>
        <v>0</v>
      </c>
      <c r="AD63" s="35">
        <f t="shared" si="26"/>
        <v>0</v>
      </c>
      <c r="AE63" s="35">
        <f t="shared" si="26"/>
        <v>0</v>
      </c>
      <c r="AF63" s="35">
        <f t="shared" si="26"/>
        <v>0</v>
      </c>
      <c r="AG63" s="35">
        <f t="shared" si="26"/>
        <v>0</v>
      </c>
      <c r="AH63" s="35">
        <f t="shared" si="26"/>
        <v>0</v>
      </c>
      <c r="AI63" s="35">
        <f t="shared" si="26"/>
        <v>68790</v>
      </c>
      <c r="AJ63" s="35">
        <f t="shared" si="27"/>
        <v>68790</v>
      </c>
      <c r="AK63" s="35">
        <f t="shared" si="27"/>
        <v>68790</v>
      </c>
      <c r="AL63" s="35">
        <f t="shared" si="27"/>
        <v>0</v>
      </c>
      <c r="AM63" s="35">
        <f t="shared" si="27"/>
        <v>0</v>
      </c>
      <c r="AN63" s="35">
        <f t="shared" si="27"/>
        <v>0</v>
      </c>
      <c r="AO63" s="35">
        <f t="shared" si="27"/>
        <v>0</v>
      </c>
      <c r="AP63" s="35">
        <f t="shared" si="27"/>
        <v>0</v>
      </c>
      <c r="AQ63" s="35">
        <f t="shared" si="27"/>
        <v>0</v>
      </c>
      <c r="AR63" s="35">
        <f t="shared" si="27"/>
        <v>0</v>
      </c>
      <c r="AS63" s="35">
        <f t="shared" si="27"/>
        <v>0</v>
      </c>
      <c r="AT63" s="35">
        <f t="shared" si="28"/>
        <v>0</v>
      </c>
      <c r="AU63" s="35">
        <f t="shared" si="28"/>
        <v>0</v>
      </c>
      <c r="AV63" s="35">
        <f t="shared" si="28"/>
        <v>0</v>
      </c>
      <c r="AW63" s="35">
        <f t="shared" si="28"/>
        <v>0</v>
      </c>
      <c r="AX63" s="35">
        <f t="shared" si="28"/>
        <v>0</v>
      </c>
      <c r="AY63" s="35">
        <f t="shared" si="28"/>
        <v>0</v>
      </c>
      <c r="AZ63" s="35">
        <f t="shared" si="28"/>
        <v>0</v>
      </c>
      <c r="BA63" s="35">
        <f t="shared" si="28"/>
        <v>0</v>
      </c>
      <c r="BB63" s="35">
        <f t="shared" si="28"/>
        <v>0</v>
      </c>
      <c r="BC63" s="35">
        <f t="shared" si="28"/>
        <v>0</v>
      </c>
      <c r="BD63" s="35">
        <f t="shared" si="28"/>
        <v>0</v>
      </c>
      <c r="BE63" s="35">
        <f t="shared" si="28"/>
        <v>0</v>
      </c>
      <c r="BF63" s="35">
        <f t="shared" si="28"/>
        <v>0</v>
      </c>
      <c r="BG63" s="35">
        <f t="shared" si="28"/>
        <v>0</v>
      </c>
    </row>
    <row r="64" spans="1:59" x14ac:dyDescent="0.25">
      <c r="A64" s="4" t="s">
        <v>414</v>
      </c>
      <c r="B64" s="26">
        <f>'Hard Costs'!$G$99</f>
        <v>162000</v>
      </c>
      <c r="C64" s="6">
        <v>16</v>
      </c>
      <c r="D64" s="6">
        <v>19</v>
      </c>
      <c r="F64" s="35">
        <f t="shared" si="24"/>
        <v>0</v>
      </c>
      <c r="G64" s="35">
        <f t="shared" si="24"/>
        <v>0</v>
      </c>
      <c r="H64" s="35">
        <f t="shared" si="24"/>
        <v>0</v>
      </c>
      <c r="I64" s="35">
        <f t="shared" si="24"/>
        <v>0</v>
      </c>
      <c r="J64" s="35">
        <f t="shared" si="24"/>
        <v>0</v>
      </c>
      <c r="K64" s="35">
        <f t="shared" si="24"/>
        <v>0</v>
      </c>
      <c r="L64" s="35">
        <f t="shared" si="24"/>
        <v>0</v>
      </c>
      <c r="M64" s="35">
        <f t="shared" si="24"/>
        <v>0</v>
      </c>
      <c r="N64" s="35">
        <f t="shared" si="24"/>
        <v>0</v>
      </c>
      <c r="O64" s="35">
        <f t="shared" si="24"/>
        <v>0</v>
      </c>
      <c r="P64" s="35">
        <f t="shared" si="25"/>
        <v>0</v>
      </c>
      <c r="Q64" s="35">
        <f t="shared" si="25"/>
        <v>0</v>
      </c>
      <c r="R64" s="35">
        <f t="shared" si="25"/>
        <v>0</v>
      </c>
      <c r="S64" s="35">
        <f t="shared" si="25"/>
        <v>0</v>
      </c>
      <c r="T64" s="35">
        <f t="shared" si="25"/>
        <v>0</v>
      </c>
      <c r="U64" s="35">
        <f t="shared" si="25"/>
        <v>0</v>
      </c>
      <c r="V64" s="35">
        <f t="shared" si="25"/>
        <v>0</v>
      </c>
      <c r="W64" s="35">
        <f t="shared" si="25"/>
        <v>0</v>
      </c>
      <c r="X64" s="35">
        <f t="shared" si="25"/>
        <v>0</v>
      </c>
      <c r="Y64" s="35">
        <f t="shared" si="25"/>
        <v>0</v>
      </c>
      <c r="Z64" s="35">
        <f t="shared" si="26"/>
        <v>0</v>
      </c>
      <c r="AA64" s="35">
        <f t="shared" si="26"/>
        <v>0</v>
      </c>
      <c r="AB64" s="35">
        <f t="shared" si="26"/>
        <v>0</v>
      </c>
      <c r="AC64" s="35">
        <f t="shared" si="26"/>
        <v>0</v>
      </c>
      <c r="AD64" s="35">
        <f t="shared" si="26"/>
        <v>0</v>
      </c>
      <c r="AE64" s="35">
        <f t="shared" si="26"/>
        <v>0</v>
      </c>
      <c r="AF64" s="35">
        <f t="shared" si="26"/>
        <v>0</v>
      </c>
      <c r="AG64" s="35">
        <f t="shared" si="26"/>
        <v>0</v>
      </c>
      <c r="AH64" s="35">
        <f t="shared" si="26"/>
        <v>40500</v>
      </c>
      <c r="AI64" s="35">
        <f t="shared" si="26"/>
        <v>40500</v>
      </c>
      <c r="AJ64" s="35">
        <f t="shared" si="27"/>
        <v>40500</v>
      </c>
      <c r="AK64" s="35">
        <f t="shared" si="27"/>
        <v>40500</v>
      </c>
      <c r="AL64" s="35">
        <f t="shared" si="27"/>
        <v>0</v>
      </c>
      <c r="AM64" s="35">
        <f t="shared" si="27"/>
        <v>0</v>
      </c>
      <c r="AN64" s="35">
        <f t="shared" si="27"/>
        <v>0</v>
      </c>
      <c r="AO64" s="35">
        <f t="shared" si="27"/>
        <v>0</v>
      </c>
      <c r="AP64" s="35">
        <f t="shared" si="27"/>
        <v>0</v>
      </c>
      <c r="AQ64" s="35">
        <f t="shared" si="27"/>
        <v>0</v>
      </c>
      <c r="AR64" s="35">
        <f t="shared" si="27"/>
        <v>0</v>
      </c>
      <c r="AS64" s="35">
        <f t="shared" si="27"/>
        <v>0</v>
      </c>
      <c r="AT64" s="35">
        <f t="shared" si="28"/>
        <v>0</v>
      </c>
      <c r="AU64" s="35">
        <f t="shared" si="28"/>
        <v>0</v>
      </c>
      <c r="AV64" s="35">
        <f t="shared" si="28"/>
        <v>0</v>
      </c>
      <c r="AW64" s="35">
        <f t="shared" si="28"/>
        <v>0</v>
      </c>
      <c r="AX64" s="35">
        <f t="shared" si="28"/>
        <v>0</v>
      </c>
      <c r="AY64" s="35">
        <f t="shared" si="28"/>
        <v>0</v>
      </c>
      <c r="AZ64" s="35">
        <f t="shared" si="28"/>
        <v>0</v>
      </c>
      <c r="BA64" s="35">
        <f t="shared" si="28"/>
        <v>0</v>
      </c>
      <c r="BB64" s="35">
        <f t="shared" si="28"/>
        <v>0</v>
      </c>
      <c r="BC64" s="35">
        <f t="shared" si="28"/>
        <v>0</v>
      </c>
      <c r="BD64" s="35">
        <f t="shared" si="28"/>
        <v>0</v>
      </c>
      <c r="BE64" s="35">
        <f t="shared" si="28"/>
        <v>0</v>
      </c>
      <c r="BF64" s="35">
        <f t="shared" si="28"/>
        <v>0</v>
      </c>
      <c r="BG64" s="35">
        <f t="shared" si="28"/>
        <v>0</v>
      </c>
    </row>
    <row r="65" spans="1:59" x14ac:dyDescent="0.25">
      <c r="A65" s="4" t="s">
        <v>415</v>
      </c>
      <c r="B65" s="26">
        <f>'Hard Costs'!$G$100</f>
        <v>108000</v>
      </c>
      <c r="C65" s="6">
        <v>18</v>
      </c>
      <c r="D65" s="6">
        <v>20</v>
      </c>
      <c r="F65" s="35">
        <f t="shared" si="24"/>
        <v>0</v>
      </c>
      <c r="G65" s="35">
        <f t="shared" si="24"/>
        <v>0</v>
      </c>
      <c r="H65" s="35">
        <f t="shared" si="24"/>
        <v>0</v>
      </c>
      <c r="I65" s="35">
        <f t="shared" si="24"/>
        <v>0</v>
      </c>
      <c r="J65" s="35">
        <f t="shared" si="24"/>
        <v>0</v>
      </c>
      <c r="K65" s="35">
        <f t="shared" si="24"/>
        <v>0</v>
      </c>
      <c r="L65" s="35">
        <f t="shared" si="24"/>
        <v>0</v>
      </c>
      <c r="M65" s="35">
        <f t="shared" si="24"/>
        <v>0</v>
      </c>
      <c r="N65" s="35">
        <f t="shared" si="24"/>
        <v>0</v>
      </c>
      <c r="O65" s="35">
        <f t="shared" si="24"/>
        <v>0</v>
      </c>
      <c r="P65" s="35">
        <f t="shared" si="25"/>
        <v>0</v>
      </c>
      <c r="Q65" s="35">
        <f t="shared" si="25"/>
        <v>0</v>
      </c>
      <c r="R65" s="35">
        <f t="shared" si="25"/>
        <v>0</v>
      </c>
      <c r="S65" s="35">
        <f t="shared" si="25"/>
        <v>0</v>
      </c>
      <c r="T65" s="35">
        <f t="shared" si="25"/>
        <v>0</v>
      </c>
      <c r="U65" s="35">
        <f t="shared" si="25"/>
        <v>0</v>
      </c>
      <c r="V65" s="35">
        <f t="shared" si="25"/>
        <v>0</v>
      </c>
      <c r="W65" s="35">
        <f t="shared" si="25"/>
        <v>0</v>
      </c>
      <c r="X65" s="35">
        <f t="shared" si="25"/>
        <v>0</v>
      </c>
      <c r="Y65" s="35">
        <f t="shared" si="25"/>
        <v>0</v>
      </c>
      <c r="Z65" s="35">
        <f t="shared" si="26"/>
        <v>0</v>
      </c>
      <c r="AA65" s="35">
        <f t="shared" si="26"/>
        <v>0</v>
      </c>
      <c r="AB65" s="35">
        <f t="shared" si="26"/>
        <v>0</v>
      </c>
      <c r="AC65" s="35">
        <f t="shared" si="26"/>
        <v>0</v>
      </c>
      <c r="AD65" s="35">
        <f t="shared" si="26"/>
        <v>0</v>
      </c>
      <c r="AE65" s="35">
        <f t="shared" si="26"/>
        <v>0</v>
      </c>
      <c r="AF65" s="35">
        <f t="shared" si="26"/>
        <v>0</v>
      </c>
      <c r="AG65" s="35">
        <f t="shared" si="26"/>
        <v>0</v>
      </c>
      <c r="AH65" s="35">
        <f t="shared" si="26"/>
        <v>0</v>
      </c>
      <c r="AI65" s="35">
        <f t="shared" si="26"/>
        <v>0</v>
      </c>
      <c r="AJ65" s="35">
        <f t="shared" si="27"/>
        <v>36000</v>
      </c>
      <c r="AK65" s="35">
        <f t="shared" si="27"/>
        <v>36000</v>
      </c>
      <c r="AL65" s="35">
        <f t="shared" si="27"/>
        <v>36000</v>
      </c>
      <c r="AM65" s="35">
        <f t="shared" si="27"/>
        <v>0</v>
      </c>
      <c r="AN65" s="35">
        <f t="shared" si="27"/>
        <v>0</v>
      </c>
      <c r="AO65" s="35">
        <f t="shared" si="27"/>
        <v>0</v>
      </c>
      <c r="AP65" s="35">
        <f t="shared" si="27"/>
        <v>0</v>
      </c>
      <c r="AQ65" s="35">
        <f t="shared" si="27"/>
        <v>0</v>
      </c>
      <c r="AR65" s="35">
        <f t="shared" si="27"/>
        <v>0</v>
      </c>
      <c r="AS65" s="35">
        <f t="shared" si="27"/>
        <v>0</v>
      </c>
      <c r="AT65" s="35">
        <f t="shared" si="28"/>
        <v>0</v>
      </c>
      <c r="AU65" s="35">
        <f t="shared" si="28"/>
        <v>0</v>
      </c>
      <c r="AV65" s="35">
        <f t="shared" si="28"/>
        <v>0</v>
      </c>
      <c r="AW65" s="35">
        <f t="shared" si="28"/>
        <v>0</v>
      </c>
      <c r="AX65" s="35">
        <f t="shared" si="28"/>
        <v>0</v>
      </c>
      <c r="AY65" s="35">
        <f t="shared" si="28"/>
        <v>0</v>
      </c>
      <c r="AZ65" s="35">
        <f t="shared" si="28"/>
        <v>0</v>
      </c>
      <c r="BA65" s="35">
        <f t="shared" si="28"/>
        <v>0</v>
      </c>
      <c r="BB65" s="35">
        <f t="shared" si="28"/>
        <v>0</v>
      </c>
      <c r="BC65" s="35">
        <f t="shared" si="28"/>
        <v>0</v>
      </c>
      <c r="BD65" s="35">
        <f t="shared" si="28"/>
        <v>0</v>
      </c>
      <c r="BE65" s="35">
        <f t="shared" si="28"/>
        <v>0</v>
      </c>
      <c r="BF65" s="35">
        <f t="shared" si="28"/>
        <v>0</v>
      </c>
      <c r="BG65" s="35">
        <f t="shared" si="28"/>
        <v>0</v>
      </c>
    </row>
    <row r="66" spans="1:59" x14ac:dyDescent="0.25">
      <c r="A66" s="4" t="s">
        <v>416</v>
      </c>
      <c r="B66" s="26">
        <f>'Hard Costs'!$G$101</f>
        <v>168000</v>
      </c>
      <c r="C66" s="6">
        <v>15</v>
      </c>
      <c r="D66" s="6">
        <v>18</v>
      </c>
      <c r="F66" s="35">
        <f t="shared" si="24"/>
        <v>0</v>
      </c>
      <c r="G66" s="35">
        <f t="shared" si="24"/>
        <v>0</v>
      </c>
      <c r="H66" s="35">
        <f t="shared" si="24"/>
        <v>0</v>
      </c>
      <c r="I66" s="35">
        <f t="shared" si="24"/>
        <v>0</v>
      </c>
      <c r="J66" s="35">
        <f t="shared" si="24"/>
        <v>0</v>
      </c>
      <c r="K66" s="35">
        <f t="shared" si="24"/>
        <v>0</v>
      </c>
      <c r="L66" s="35">
        <f t="shared" si="24"/>
        <v>0</v>
      </c>
      <c r="M66" s="35">
        <f t="shared" si="24"/>
        <v>0</v>
      </c>
      <c r="N66" s="35">
        <f t="shared" si="24"/>
        <v>0</v>
      </c>
      <c r="O66" s="35">
        <f t="shared" si="24"/>
        <v>0</v>
      </c>
      <c r="P66" s="35">
        <f t="shared" si="25"/>
        <v>0</v>
      </c>
      <c r="Q66" s="35">
        <f t="shared" si="25"/>
        <v>0</v>
      </c>
      <c r="R66" s="35">
        <f t="shared" si="25"/>
        <v>0</v>
      </c>
      <c r="S66" s="35">
        <f t="shared" si="25"/>
        <v>0</v>
      </c>
      <c r="T66" s="35">
        <f t="shared" si="25"/>
        <v>0</v>
      </c>
      <c r="U66" s="35">
        <f t="shared" si="25"/>
        <v>0</v>
      </c>
      <c r="V66" s="35">
        <f t="shared" si="25"/>
        <v>0</v>
      </c>
      <c r="W66" s="35">
        <f t="shared" si="25"/>
        <v>0</v>
      </c>
      <c r="X66" s="35">
        <f t="shared" si="25"/>
        <v>0</v>
      </c>
      <c r="Y66" s="35">
        <f t="shared" si="25"/>
        <v>0</v>
      </c>
      <c r="Z66" s="35">
        <f t="shared" si="26"/>
        <v>0</v>
      </c>
      <c r="AA66" s="35">
        <f t="shared" si="26"/>
        <v>0</v>
      </c>
      <c r="AB66" s="35">
        <f t="shared" si="26"/>
        <v>0</v>
      </c>
      <c r="AC66" s="35">
        <f t="shared" si="26"/>
        <v>0</v>
      </c>
      <c r="AD66" s="35">
        <f t="shared" si="26"/>
        <v>0</v>
      </c>
      <c r="AE66" s="35">
        <f t="shared" si="26"/>
        <v>0</v>
      </c>
      <c r="AF66" s="35">
        <f t="shared" si="26"/>
        <v>0</v>
      </c>
      <c r="AG66" s="35">
        <f t="shared" si="26"/>
        <v>42000</v>
      </c>
      <c r="AH66" s="35">
        <f t="shared" si="26"/>
        <v>42000</v>
      </c>
      <c r="AI66" s="35">
        <f t="shared" si="26"/>
        <v>42000</v>
      </c>
      <c r="AJ66" s="35">
        <f t="shared" si="27"/>
        <v>42000</v>
      </c>
      <c r="AK66" s="35">
        <f t="shared" si="27"/>
        <v>0</v>
      </c>
      <c r="AL66" s="35">
        <f t="shared" si="27"/>
        <v>0</v>
      </c>
      <c r="AM66" s="35">
        <f t="shared" si="27"/>
        <v>0</v>
      </c>
      <c r="AN66" s="35">
        <f t="shared" si="27"/>
        <v>0</v>
      </c>
      <c r="AO66" s="35">
        <f t="shared" si="27"/>
        <v>0</v>
      </c>
      <c r="AP66" s="35">
        <f t="shared" si="27"/>
        <v>0</v>
      </c>
      <c r="AQ66" s="35">
        <f t="shared" si="27"/>
        <v>0</v>
      </c>
      <c r="AR66" s="35">
        <f t="shared" si="27"/>
        <v>0</v>
      </c>
      <c r="AS66" s="35">
        <f t="shared" si="27"/>
        <v>0</v>
      </c>
      <c r="AT66" s="35">
        <f t="shared" si="28"/>
        <v>0</v>
      </c>
      <c r="AU66" s="35">
        <f t="shared" si="28"/>
        <v>0</v>
      </c>
      <c r="AV66" s="35">
        <f t="shared" si="28"/>
        <v>0</v>
      </c>
      <c r="AW66" s="35">
        <f t="shared" si="28"/>
        <v>0</v>
      </c>
      <c r="AX66" s="35">
        <f t="shared" si="28"/>
        <v>0</v>
      </c>
      <c r="AY66" s="35">
        <f t="shared" si="28"/>
        <v>0</v>
      </c>
      <c r="AZ66" s="35">
        <f t="shared" si="28"/>
        <v>0</v>
      </c>
      <c r="BA66" s="35">
        <f t="shared" si="28"/>
        <v>0</v>
      </c>
      <c r="BB66" s="35">
        <f t="shared" si="28"/>
        <v>0</v>
      </c>
      <c r="BC66" s="35">
        <f t="shared" si="28"/>
        <v>0</v>
      </c>
      <c r="BD66" s="35">
        <f t="shared" si="28"/>
        <v>0</v>
      </c>
      <c r="BE66" s="35">
        <f t="shared" si="28"/>
        <v>0</v>
      </c>
      <c r="BF66" s="35">
        <f t="shared" si="28"/>
        <v>0</v>
      </c>
      <c r="BG66" s="35">
        <f t="shared" si="28"/>
        <v>0</v>
      </c>
    </row>
    <row r="67" spans="1:59" x14ac:dyDescent="0.25">
      <c r="A67" s="4" t="s">
        <v>417</v>
      </c>
      <c r="B67" s="26">
        <f>'Hard Costs'!$G$102</f>
        <v>85000</v>
      </c>
      <c r="C67" s="6">
        <v>14</v>
      </c>
      <c r="D67" s="6">
        <v>17</v>
      </c>
      <c r="F67" s="35">
        <f t="shared" si="24"/>
        <v>0</v>
      </c>
      <c r="G67" s="35">
        <f t="shared" si="24"/>
        <v>0</v>
      </c>
      <c r="H67" s="35">
        <f t="shared" si="24"/>
        <v>0</v>
      </c>
      <c r="I67" s="35">
        <f t="shared" si="24"/>
        <v>0</v>
      </c>
      <c r="J67" s="35">
        <f t="shared" si="24"/>
        <v>0</v>
      </c>
      <c r="K67" s="35">
        <f t="shared" si="24"/>
        <v>0</v>
      </c>
      <c r="L67" s="35">
        <f t="shared" si="24"/>
        <v>0</v>
      </c>
      <c r="M67" s="35">
        <f t="shared" si="24"/>
        <v>0</v>
      </c>
      <c r="N67" s="35">
        <f t="shared" si="24"/>
        <v>0</v>
      </c>
      <c r="O67" s="35">
        <f t="shared" si="24"/>
        <v>0</v>
      </c>
      <c r="P67" s="35">
        <f t="shared" si="25"/>
        <v>0</v>
      </c>
      <c r="Q67" s="35">
        <f t="shared" si="25"/>
        <v>0</v>
      </c>
      <c r="R67" s="35">
        <f t="shared" si="25"/>
        <v>0</v>
      </c>
      <c r="S67" s="35">
        <f t="shared" si="25"/>
        <v>0</v>
      </c>
      <c r="T67" s="35">
        <f t="shared" si="25"/>
        <v>0</v>
      </c>
      <c r="U67" s="35">
        <f t="shared" si="25"/>
        <v>0</v>
      </c>
      <c r="V67" s="35">
        <f t="shared" si="25"/>
        <v>0</v>
      </c>
      <c r="W67" s="35">
        <f t="shared" si="25"/>
        <v>0</v>
      </c>
      <c r="X67" s="35">
        <f t="shared" si="25"/>
        <v>0</v>
      </c>
      <c r="Y67" s="35">
        <f t="shared" si="25"/>
        <v>0</v>
      </c>
      <c r="Z67" s="35">
        <f t="shared" si="26"/>
        <v>0</v>
      </c>
      <c r="AA67" s="35">
        <f t="shared" si="26"/>
        <v>0</v>
      </c>
      <c r="AB67" s="35">
        <f t="shared" si="26"/>
        <v>0</v>
      </c>
      <c r="AC67" s="35">
        <f t="shared" si="26"/>
        <v>0</v>
      </c>
      <c r="AD67" s="35">
        <f t="shared" si="26"/>
        <v>0</v>
      </c>
      <c r="AE67" s="35">
        <f t="shared" si="26"/>
        <v>0</v>
      </c>
      <c r="AF67" s="35">
        <f t="shared" si="26"/>
        <v>21250</v>
      </c>
      <c r="AG67" s="35">
        <f t="shared" si="26"/>
        <v>21250</v>
      </c>
      <c r="AH67" s="35">
        <f t="shared" si="26"/>
        <v>21250</v>
      </c>
      <c r="AI67" s="35">
        <f t="shared" si="26"/>
        <v>21250</v>
      </c>
      <c r="AJ67" s="35">
        <f t="shared" si="27"/>
        <v>0</v>
      </c>
      <c r="AK67" s="35">
        <f t="shared" si="27"/>
        <v>0</v>
      </c>
      <c r="AL67" s="35">
        <f t="shared" si="27"/>
        <v>0</v>
      </c>
      <c r="AM67" s="35">
        <f t="shared" si="27"/>
        <v>0</v>
      </c>
      <c r="AN67" s="35">
        <f t="shared" si="27"/>
        <v>0</v>
      </c>
      <c r="AO67" s="35">
        <f t="shared" si="27"/>
        <v>0</v>
      </c>
      <c r="AP67" s="35">
        <f t="shared" si="27"/>
        <v>0</v>
      </c>
      <c r="AQ67" s="35">
        <f t="shared" si="27"/>
        <v>0</v>
      </c>
      <c r="AR67" s="35">
        <f t="shared" si="27"/>
        <v>0</v>
      </c>
      <c r="AS67" s="35">
        <f t="shared" si="27"/>
        <v>0</v>
      </c>
      <c r="AT67" s="35">
        <f t="shared" si="28"/>
        <v>0</v>
      </c>
      <c r="AU67" s="35">
        <f t="shared" si="28"/>
        <v>0</v>
      </c>
      <c r="AV67" s="35">
        <f t="shared" si="28"/>
        <v>0</v>
      </c>
      <c r="AW67" s="35">
        <f t="shared" si="28"/>
        <v>0</v>
      </c>
      <c r="AX67" s="35">
        <f t="shared" si="28"/>
        <v>0</v>
      </c>
      <c r="AY67" s="35">
        <f t="shared" si="28"/>
        <v>0</v>
      </c>
      <c r="AZ67" s="35">
        <f t="shared" si="28"/>
        <v>0</v>
      </c>
      <c r="BA67" s="35">
        <f t="shared" si="28"/>
        <v>0</v>
      </c>
      <c r="BB67" s="35">
        <f t="shared" si="28"/>
        <v>0</v>
      </c>
      <c r="BC67" s="35">
        <f t="shared" si="28"/>
        <v>0</v>
      </c>
      <c r="BD67" s="35">
        <f t="shared" si="28"/>
        <v>0</v>
      </c>
      <c r="BE67" s="35">
        <f t="shared" si="28"/>
        <v>0</v>
      </c>
      <c r="BF67" s="35">
        <f t="shared" si="28"/>
        <v>0</v>
      </c>
      <c r="BG67" s="35">
        <f t="shared" si="28"/>
        <v>0</v>
      </c>
    </row>
    <row r="68" spans="1:59" x14ac:dyDescent="0.25">
      <c r="A68" s="4" t="s">
        <v>418</v>
      </c>
      <c r="B68" s="26">
        <f>'Hard Costs'!$G$103</f>
        <v>111420</v>
      </c>
      <c r="C68" s="6">
        <v>17</v>
      </c>
      <c r="D68" s="6">
        <v>20</v>
      </c>
      <c r="F68" s="35">
        <f t="shared" si="24"/>
        <v>0</v>
      </c>
      <c r="G68" s="35">
        <f t="shared" si="24"/>
        <v>0</v>
      </c>
      <c r="H68" s="35">
        <f t="shared" si="24"/>
        <v>0</v>
      </c>
      <c r="I68" s="35">
        <f t="shared" si="24"/>
        <v>0</v>
      </c>
      <c r="J68" s="35">
        <f t="shared" si="24"/>
        <v>0</v>
      </c>
      <c r="K68" s="35">
        <f t="shared" si="24"/>
        <v>0</v>
      </c>
      <c r="L68" s="35">
        <f t="shared" si="24"/>
        <v>0</v>
      </c>
      <c r="M68" s="35">
        <f t="shared" si="24"/>
        <v>0</v>
      </c>
      <c r="N68" s="35">
        <f t="shared" si="24"/>
        <v>0</v>
      </c>
      <c r="O68" s="35">
        <f t="shared" si="24"/>
        <v>0</v>
      </c>
      <c r="P68" s="35">
        <f t="shared" si="25"/>
        <v>0</v>
      </c>
      <c r="Q68" s="35">
        <f t="shared" si="25"/>
        <v>0</v>
      </c>
      <c r="R68" s="35">
        <f t="shared" si="25"/>
        <v>0</v>
      </c>
      <c r="S68" s="35">
        <f t="shared" si="25"/>
        <v>0</v>
      </c>
      <c r="T68" s="35">
        <f t="shared" si="25"/>
        <v>0</v>
      </c>
      <c r="U68" s="35">
        <f t="shared" si="25"/>
        <v>0</v>
      </c>
      <c r="V68" s="35">
        <f t="shared" si="25"/>
        <v>0</v>
      </c>
      <c r="W68" s="35">
        <f t="shared" si="25"/>
        <v>0</v>
      </c>
      <c r="X68" s="35">
        <f t="shared" si="25"/>
        <v>0</v>
      </c>
      <c r="Y68" s="35">
        <f t="shared" si="25"/>
        <v>0</v>
      </c>
      <c r="Z68" s="35">
        <f t="shared" si="26"/>
        <v>0</v>
      </c>
      <c r="AA68" s="35">
        <f t="shared" si="26"/>
        <v>0</v>
      </c>
      <c r="AB68" s="35">
        <f t="shared" si="26"/>
        <v>0</v>
      </c>
      <c r="AC68" s="35">
        <f t="shared" si="26"/>
        <v>0</v>
      </c>
      <c r="AD68" s="35">
        <f t="shared" si="26"/>
        <v>0</v>
      </c>
      <c r="AE68" s="35">
        <f t="shared" si="26"/>
        <v>0</v>
      </c>
      <c r="AF68" s="35">
        <f t="shared" si="26"/>
        <v>0</v>
      </c>
      <c r="AG68" s="35">
        <f t="shared" si="26"/>
        <v>0</v>
      </c>
      <c r="AH68" s="35">
        <f t="shared" si="26"/>
        <v>0</v>
      </c>
      <c r="AI68" s="35">
        <f t="shared" si="26"/>
        <v>27855</v>
      </c>
      <c r="AJ68" s="35">
        <f t="shared" si="27"/>
        <v>27855</v>
      </c>
      <c r="AK68" s="35">
        <f t="shared" si="27"/>
        <v>27855</v>
      </c>
      <c r="AL68" s="35">
        <f t="shared" si="27"/>
        <v>27855</v>
      </c>
      <c r="AM68" s="35">
        <f t="shared" si="27"/>
        <v>0</v>
      </c>
      <c r="AN68" s="35">
        <f t="shared" si="27"/>
        <v>0</v>
      </c>
      <c r="AO68" s="35">
        <f t="shared" si="27"/>
        <v>0</v>
      </c>
      <c r="AP68" s="35">
        <f t="shared" si="27"/>
        <v>0</v>
      </c>
      <c r="AQ68" s="35">
        <f t="shared" si="27"/>
        <v>0</v>
      </c>
      <c r="AR68" s="35">
        <f t="shared" si="27"/>
        <v>0</v>
      </c>
      <c r="AS68" s="35">
        <f t="shared" si="27"/>
        <v>0</v>
      </c>
      <c r="AT68" s="35">
        <f t="shared" si="28"/>
        <v>0</v>
      </c>
      <c r="AU68" s="35">
        <f t="shared" si="28"/>
        <v>0</v>
      </c>
      <c r="AV68" s="35">
        <f t="shared" si="28"/>
        <v>0</v>
      </c>
      <c r="AW68" s="35">
        <f t="shared" si="28"/>
        <v>0</v>
      </c>
      <c r="AX68" s="35">
        <f t="shared" si="28"/>
        <v>0</v>
      </c>
      <c r="AY68" s="35">
        <f t="shared" si="28"/>
        <v>0</v>
      </c>
      <c r="AZ68" s="35">
        <f t="shared" si="28"/>
        <v>0</v>
      </c>
      <c r="BA68" s="35">
        <f t="shared" si="28"/>
        <v>0</v>
      </c>
      <c r="BB68" s="35">
        <f t="shared" si="28"/>
        <v>0</v>
      </c>
      <c r="BC68" s="35">
        <f t="shared" si="28"/>
        <v>0</v>
      </c>
      <c r="BD68" s="35">
        <f t="shared" si="28"/>
        <v>0</v>
      </c>
      <c r="BE68" s="35">
        <f t="shared" si="28"/>
        <v>0</v>
      </c>
      <c r="BF68" s="35">
        <f t="shared" si="28"/>
        <v>0</v>
      </c>
      <c r="BG68" s="35">
        <f t="shared" si="28"/>
        <v>0</v>
      </c>
    </row>
    <row r="69" spans="1:59" x14ac:dyDescent="0.25">
      <c r="A69" s="4" t="s">
        <v>419</v>
      </c>
      <c r="B69" s="26">
        <f>'Hard Costs'!$G$104</f>
        <v>40000</v>
      </c>
      <c r="C69" s="6">
        <v>17</v>
      </c>
      <c r="D69" s="6">
        <v>20</v>
      </c>
      <c r="F69" s="35">
        <f t="shared" si="24"/>
        <v>0</v>
      </c>
      <c r="G69" s="35">
        <f t="shared" si="24"/>
        <v>0</v>
      </c>
      <c r="H69" s="35">
        <f t="shared" si="24"/>
        <v>0</v>
      </c>
      <c r="I69" s="35">
        <f t="shared" si="24"/>
        <v>0</v>
      </c>
      <c r="J69" s="35">
        <f t="shared" si="24"/>
        <v>0</v>
      </c>
      <c r="K69" s="35">
        <f t="shared" si="24"/>
        <v>0</v>
      </c>
      <c r="L69" s="35">
        <f t="shared" si="24"/>
        <v>0</v>
      </c>
      <c r="M69" s="35">
        <f t="shared" si="24"/>
        <v>0</v>
      </c>
      <c r="N69" s="35">
        <f t="shared" si="24"/>
        <v>0</v>
      </c>
      <c r="O69" s="35">
        <f t="shared" si="24"/>
        <v>0</v>
      </c>
      <c r="P69" s="35">
        <f t="shared" si="25"/>
        <v>0</v>
      </c>
      <c r="Q69" s="35">
        <f t="shared" si="25"/>
        <v>0</v>
      </c>
      <c r="R69" s="35">
        <f t="shared" si="25"/>
        <v>0</v>
      </c>
      <c r="S69" s="35">
        <f t="shared" si="25"/>
        <v>0</v>
      </c>
      <c r="T69" s="35">
        <f t="shared" si="25"/>
        <v>0</v>
      </c>
      <c r="U69" s="35">
        <f t="shared" si="25"/>
        <v>0</v>
      </c>
      <c r="V69" s="35">
        <f t="shared" si="25"/>
        <v>0</v>
      </c>
      <c r="W69" s="35">
        <f t="shared" si="25"/>
        <v>0</v>
      </c>
      <c r="X69" s="35">
        <f t="shared" si="25"/>
        <v>0</v>
      </c>
      <c r="Y69" s="35">
        <f t="shared" si="25"/>
        <v>0</v>
      </c>
      <c r="Z69" s="35">
        <f t="shared" si="26"/>
        <v>0</v>
      </c>
      <c r="AA69" s="35">
        <f t="shared" si="26"/>
        <v>0</v>
      </c>
      <c r="AB69" s="35">
        <f t="shared" si="26"/>
        <v>0</v>
      </c>
      <c r="AC69" s="35">
        <f t="shared" si="26"/>
        <v>0</v>
      </c>
      <c r="AD69" s="35">
        <f t="shared" si="26"/>
        <v>0</v>
      </c>
      <c r="AE69" s="35">
        <f t="shared" si="26"/>
        <v>0</v>
      </c>
      <c r="AF69" s="35">
        <f t="shared" si="26"/>
        <v>0</v>
      </c>
      <c r="AG69" s="35">
        <f t="shared" si="26"/>
        <v>0</v>
      </c>
      <c r="AH69" s="35">
        <f t="shared" si="26"/>
        <v>0</v>
      </c>
      <c r="AI69" s="35">
        <f t="shared" si="26"/>
        <v>10000</v>
      </c>
      <c r="AJ69" s="35">
        <f t="shared" si="27"/>
        <v>10000</v>
      </c>
      <c r="AK69" s="35">
        <f t="shared" si="27"/>
        <v>10000</v>
      </c>
      <c r="AL69" s="35">
        <f t="shared" si="27"/>
        <v>10000</v>
      </c>
      <c r="AM69" s="35">
        <f t="shared" si="27"/>
        <v>0</v>
      </c>
      <c r="AN69" s="35">
        <f t="shared" si="27"/>
        <v>0</v>
      </c>
      <c r="AO69" s="35">
        <f t="shared" si="27"/>
        <v>0</v>
      </c>
      <c r="AP69" s="35">
        <f t="shared" si="27"/>
        <v>0</v>
      </c>
      <c r="AQ69" s="35">
        <f t="shared" si="27"/>
        <v>0</v>
      </c>
      <c r="AR69" s="35">
        <f t="shared" si="27"/>
        <v>0</v>
      </c>
      <c r="AS69" s="35">
        <f t="shared" si="27"/>
        <v>0</v>
      </c>
      <c r="AT69" s="35">
        <f t="shared" si="28"/>
        <v>0</v>
      </c>
      <c r="AU69" s="35">
        <f t="shared" si="28"/>
        <v>0</v>
      </c>
      <c r="AV69" s="35">
        <f t="shared" si="28"/>
        <v>0</v>
      </c>
      <c r="AW69" s="35">
        <f t="shared" si="28"/>
        <v>0</v>
      </c>
      <c r="AX69" s="35">
        <f t="shared" si="28"/>
        <v>0</v>
      </c>
      <c r="AY69" s="35">
        <f t="shared" si="28"/>
        <v>0</v>
      </c>
      <c r="AZ69" s="35">
        <f t="shared" si="28"/>
        <v>0</v>
      </c>
      <c r="BA69" s="35">
        <f t="shared" si="28"/>
        <v>0</v>
      </c>
      <c r="BB69" s="35">
        <f t="shared" si="28"/>
        <v>0</v>
      </c>
      <c r="BC69" s="35">
        <f t="shared" si="28"/>
        <v>0</v>
      </c>
      <c r="BD69" s="35">
        <f t="shared" si="28"/>
        <v>0</v>
      </c>
      <c r="BE69" s="35">
        <f t="shared" si="28"/>
        <v>0</v>
      </c>
      <c r="BF69" s="35">
        <f t="shared" si="28"/>
        <v>0</v>
      </c>
      <c r="BG69" s="35">
        <f t="shared" si="28"/>
        <v>0</v>
      </c>
    </row>
    <row r="70" spans="1:59" x14ac:dyDescent="0.25">
      <c r="A70" s="4" t="s">
        <v>420</v>
      </c>
      <c r="B70" s="26">
        <f>'Hard Costs'!$G$105</f>
        <v>242675</v>
      </c>
      <c r="C70" s="6">
        <v>17</v>
      </c>
      <c r="D70" s="6">
        <v>19</v>
      </c>
      <c r="F70" s="35">
        <f t="shared" si="24"/>
        <v>0</v>
      </c>
      <c r="G70" s="35">
        <f t="shared" si="24"/>
        <v>0</v>
      </c>
      <c r="H70" s="35">
        <f t="shared" si="24"/>
        <v>0</v>
      </c>
      <c r="I70" s="35">
        <f t="shared" si="24"/>
        <v>0</v>
      </c>
      <c r="J70" s="35">
        <f t="shared" si="24"/>
        <v>0</v>
      </c>
      <c r="K70" s="35">
        <f t="shared" si="24"/>
        <v>0</v>
      </c>
      <c r="L70" s="35">
        <f t="shared" si="24"/>
        <v>0</v>
      </c>
      <c r="M70" s="35">
        <f t="shared" si="24"/>
        <v>0</v>
      </c>
      <c r="N70" s="35">
        <f t="shared" si="24"/>
        <v>0</v>
      </c>
      <c r="O70" s="35">
        <f t="shared" si="24"/>
        <v>0</v>
      </c>
      <c r="P70" s="35">
        <f t="shared" si="25"/>
        <v>0</v>
      </c>
      <c r="Q70" s="35">
        <f t="shared" si="25"/>
        <v>0</v>
      </c>
      <c r="R70" s="35">
        <f t="shared" si="25"/>
        <v>0</v>
      </c>
      <c r="S70" s="35">
        <f t="shared" si="25"/>
        <v>0</v>
      </c>
      <c r="T70" s="35">
        <f t="shared" si="25"/>
        <v>0</v>
      </c>
      <c r="U70" s="35">
        <f t="shared" si="25"/>
        <v>0</v>
      </c>
      <c r="V70" s="35">
        <f t="shared" si="25"/>
        <v>0</v>
      </c>
      <c r="W70" s="35">
        <f t="shared" si="25"/>
        <v>0</v>
      </c>
      <c r="X70" s="35">
        <f t="shared" si="25"/>
        <v>0</v>
      </c>
      <c r="Y70" s="35">
        <f t="shared" si="25"/>
        <v>0</v>
      </c>
      <c r="Z70" s="35">
        <f t="shared" si="26"/>
        <v>0</v>
      </c>
      <c r="AA70" s="35">
        <f t="shared" si="26"/>
        <v>0</v>
      </c>
      <c r="AB70" s="35">
        <f t="shared" si="26"/>
        <v>0</v>
      </c>
      <c r="AC70" s="35">
        <f t="shared" si="26"/>
        <v>0</v>
      </c>
      <c r="AD70" s="35">
        <f t="shared" si="26"/>
        <v>0</v>
      </c>
      <c r="AE70" s="35">
        <f t="shared" si="26"/>
        <v>0</v>
      </c>
      <c r="AF70" s="35">
        <f t="shared" si="26"/>
        <v>0</v>
      </c>
      <c r="AG70" s="35">
        <f t="shared" si="26"/>
        <v>0</v>
      </c>
      <c r="AH70" s="35">
        <f t="shared" si="26"/>
        <v>0</v>
      </c>
      <c r="AI70" s="35">
        <f t="shared" si="26"/>
        <v>80891.666666666672</v>
      </c>
      <c r="AJ70" s="35">
        <f t="shared" si="27"/>
        <v>80891.666666666672</v>
      </c>
      <c r="AK70" s="35">
        <f t="shared" si="27"/>
        <v>80891.666666666672</v>
      </c>
      <c r="AL70" s="35">
        <f t="shared" si="27"/>
        <v>0</v>
      </c>
      <c r="AM70" s="35">
        <f t="shared" si="27"/>
        <v>0</v>
      </c>
      <c r="AN70" s="35">
        <f t="shared" si="27"/>
        <v>0</v>
      </c>
      <c r="AO70" s="35">
        <f t="shared" si="27"/>
        <v>0</v>
      </c>
      <c r="AP70" s="35">
        <f t="shared" si="27"/>
        <v>0</v>
      </c>
      <c r="AQ70" s="35">
        <f t="shared" si="27"/>
        <v>0</v>
      </c>
      <c r="AR70" s="35">
        <f t="shared" si="27"/>
        <v>0</v>
      </c>
      <c r="AS70" s="35">
        <f t="shared" si="27"/>
        <v>0</v>
      </c>
      <c r="AT70" s="35">
        <f t="shared" si="28"/>
        <v>0</v>
      </c>
      <c r="AU70" s="35">
        <f t="shared" si="28"/>
        <v>0</v>
      </c>
      <c r="AV70" s="35">
        <f t="shared" si="28"/>
        <v>0</v>
      </c>
      <c r="AW70" s="35">
        <f t="shared" si="28"/>
        <v>0</v>
      </c>
      <c r="AX70" s="35">
        <f t="shared" si="28"/>
        <v>0</v>
      </c>
      <c r="AY70" s="35">
        <f t="shared" si="28"/>
        <v>0</v>
      </c>
      <c r="AZ70" s="35">
        <f t="shared" si="28"/>
        <v>0</v>
      </c>
      <c r="BA70" s="35">
        <f t="shared" si="28"/>
        <v>0</v>
      </c>
      <c r="BB70" s="35">
        <f t="shared" si="28"/>
        <v>0</v>
      </c>
      <c r="BC70" s="35">
        <f t="shared" si="28"/>
        <v>0</v>
      </c>
      <c r="BD70" s="35">
        <f t="shared" si="28"/>
        <v>0</v>
      </c>
      <c r="BE70" s="35">
        <f t="shared" si="28"/>
        <v>0</v>
      </c>
      <c r="BF70" s="35">
        <f t="shared" si="28"/>
        <v>0</v>
      </c>
      <c r="BG70" s="35">
        <f t="shared" si="28"/>
        <v>0</v>
      </c>
    </row>
    <row r="71" spans="1:59" x14ac:dyDescent="0.25">
      <c r="A71" s="4" t="s">
        <v>421</v>
      </c>
      <c r="B71" s="26">
        <f>'Hard Costs'!$G$106</f>
        <v>405975</v>
      </c>
      <c r="C71" s="6">
        <v>16</v>
      </c>
      <c r="D71" s="6">
        <v>19</v>
      </c>
      <c r="F71" s="35">
        <f t="shared" si="24"/>
        <v>0</v>
      </c>
      <c r="G71" s="35">
        <f t="shared" si="24"/>
        <v>0</v>
      </c>
      <c r="H71" s="35">
        <f t="shared" si="24"/>
        <v>0</v>
      </c>
      <c r="I71" s="35">
        <f t="shared" si="24"/>
        <v>0</v>
      </c>
      <c r="J71" s="35">
        <f t="shared" si="24"/>
        <v>0</v>
      </c>
      <c r="K71" s="35">
        <f t="shared" si="24"/>
        <v>0</v>
      </c>
      <c r="L71" s="35">
        <f t="shared" si="24"/>
        <v>0</v>
      </c>
      <c r="M71" s="35">
        <f t="shared" si="24"/>
        <v>0</v>
      </c>
      <c r="N71" s="35">
        <f t="shared" si="24"/>
        <v>0</v>
      </c>
      <c r="O71" s="35">
        <f t="shared" si="24"/>
        <v>0</v>
      </c>
      <c r="P71" s="35">
        <f t="shared" si="25"/>
        <v>0</v>
      </c>
      <c r="Q71" s="35">
        <f t="shared" si="25"/>
        <v>0</v>
      </c>
      <c r="R71" s="35">
        <f t="shared" si="25"/>
        <v>0</v>
      </c>
      <c r="S71" s="35">
        <f t="shared" si="25"/>
        <v>0</v>
      </c>
      <c r="T71" s="35">
        <f t="shared" si="25"/>
        <v>0</v>
      </c>
      <c r="U71" s="35">
        <f t="shared" si="25"/>
        <v>0</v>
      </c>
      <c r="V71" s="35">
        <f t="shared" si="25"/>
        <v>0</v>
      </c>
      <c r="W71" s="35">
        <f t="shared" si="25"/>
        <v>0</v>
      </c>
      <c r="X71" s="35">
        <f t="shared" si="25"/>
        <v>0</v>
      </c>
      <c r="Y71" s="35">
        <f t="shared" si="25"/>
        <v>0</v>
      </c>
      <c r="Z71" s="35">
        <f t="shared" si="26"/>
        <v>0</v>
      </c>
      <c r="AA71" s="35">
        <f t="shared" si="26"/>
        <v>0</v>
      </c>
      <c r="AB71" s="35">
        <f t="shared" si="26"/>
        <v>0</v>
      </c>
      <c r="AC71" s="35">
        <f t="shared" si="26"/>
        <v>0</v>
      </c>
      <c r="AD71" s="35">
        <f t="shared" si="26"/>
        <v>0</v>
      </c>
      <c r="AE71" s="35">
        <f t="shared" si="26"/>
        <v>0</v>
      </c>
      <c r="AF71" s="35">
        <f t="shared" si="26"/>
        <v>0</v>
      </c>
      <c r="AG71" s="35">
        <f t="shared" si="26"/>
        <v>0</v>
      </c>
      <c r="AH71" s="35">
        <f t="shared" si="26"/>
        <v>101493.75</v>
      </c>
      <c r="AI71" s="35">
        <f t="shared" si="26"/>
        <v>101493.75</v>
      </c>
      <c r="AJ71" s="35">
        <f t="shared" si="27"/>
        <v>101493.75</v>
      </c>
      <c r="AK71" s="35">
        <f t="shared" si="27"/>
        <v>101493.75</v>
      </c>
      <c r="AL71" s="35">
        <f t="shared" si="27"/>
        <v>0</v>
      </c>
      <c r="AM71" s="35">
        <f t="shared" si="27"/>
        <v>0</v>
      </c>
      <c r="AN71" s="35">
        <f t="shared" si="27"/>
        <v>0</v>
      </c>
      <c r="AO71" s="35">
        <f t="shared" si="27"/>
        <v>0</v>
      </c>
      <c r="AP71" s="35">
        <f t="shared" si="27"/>
        <v>0</v>
      </c>
      <c r="AQ71" s="35">
        <f t="shared" si="27"/>
        <v>0</v>
      </c>
      <c r="AR71" s="35">
        <f t="shared" si="27"/>
        <v>0</v>
      </c>
      <c r="AS71" s="35">
        <f t="shared" si="27"/>
        <v>0</v>
      </c>
      <c r="AT71" s="35">
        <f t="shared" si="28"/>
        <v>0</v>
      </c>
      <c r="AU71" s="35">
        <f t="shared" si="28"/>
        <v>0</v>
      </c>
      <c r="AV71" s="35">
        <f t="shared" si="28"/>
        <v>0</v>
      </c>
      <c r="AW71" s="35">
        <f t="shared" si="28"/>
        <v>0</v>
      </c>
      <c r="AX71" s="35">
        <f t="shared" si="28"/>
        <v>0</v>
      </c>
      <c r="AY71" s="35">
        <f t="shared" si="28"/>
        <v>0</v>
      </c>
      <c r="AZ71" s="35">
        <f t="shared" si="28"/>
        <v>0</v>
      </c>
      <c r="BA71" s="35">
        <f t="shared" si="28"/>
        <v>0</v>
      </c>
      <c r="BB71" s="35">
        <f t="shared" si="28"/>
        <v>0</v>
      </c>
      <c r="BC71" s="35">
        <f t="shared" si="28"/>
        <v>0</v>
      </c>
      <c r="BD71" s="35">
        <f t="shared" si="28"/>
        <v>0</v>
      </c>
      <c r="BE71" s="35">
        <f t="shared" si="28"/>
        <v>0</v>
      </c>
      <c r="BF71" s="35">
        <f t="shared" si="28"/>
        <v>0</v>
      </c>
      <c r="BG71" s="35">
        <f t="shared" si="28"/>
        <v>0</v>
      </c>
    </row>
    <row r="72" spans="1:59" ht="13" x14ac:dyDescent="0.3">
      <c r="A72" s="5" t="s">
        <v>422</v>
      </c>
    </row>
    <row r="73" spans="1:59" x14ac:dyDescent="0.25">
      <c r="A73" s="4" t="s">
        <v>423</v>
      </c>
      <c r="B73" s="26">
        <f>'Hard Costs'!$G$109</f>
        <v>21250</v>
      </c>
      <c r="C73" s="6">
        <v>18</v>
      </c>
      <c r="D73" s="6">
        <v>20</v>
      </c>
      <c r="F73" s="35">
        <f t="shared" ref="F73:O74" si="29">IF(AND(F$12-$B$7&gt;=$C73,F$12-$B$7&lt;=$D73),$B73/($D73-$C73+1),0)</f>
        <v>0</v>
      </c>
      <c r="G73" s="35">
        <f t="shared" si="29"/>
        <v>0</v>
      </c>
      <c r="H73" s="35">
        <f t="shared" si="29"/>
        <v>0</v>
      </c>
      <c r="I73" s="35">
        <f t="shared" si="29"/>
        <v>0</v>
      </c>
      <c r="J73" s="35">
        <f t="shared" si="29"/>
        <v>0</v>
      </c>
      <c r="K73" s="35">
        <f t="shared" si="29"/>
        <v>0</v>
      </c>
      <c r="L73" s="35">
        <f t="shared" si="29"/>
        <v>0</v>
      </c>
      <c r="M73" s="35">
        <f t="shared" si="29"/>
        <v>0</v>
      </c>
      <c r="N73" s="35">
        <f t="shared" si="29"/>
        <v>0</v>
      </c>
      <c r="O73" s="35">
        <f t="shared" si="29"/>
        <v>0</v>
      </c>
      <c r="P73" s="35">
        <f t="shared" ref="P73:Y74" si="30">IF(AND(P$12-$B$7&gt;=$C73,P$12-$B$7&lt;=$D73),$B73/($D73-$C73+1),0)</f>
        <v>0</v>
      </c>
      <c r="Q73" s="35">
        <f t="shared" si="30"/>
        <v>0</v>
      </c>
      <c r="R73" s="35">
        <f t="shared" si="30"/>
        <v>0</v>
      </c>
      <c r="S73" s="35">
        <f t="shared" si="30"/>
        <v>0</v>
      </c>
      <c r="T73" s="35">
        <f t="shared" si="30"/>
        <v>0</v>
      </c>
      <c r="U73" s="35">
        <f t="shared" si="30"/>
        <v>0</v>
      </c>
      <c r="V73" s="35">
        <f t="shared" si="30"/>
        <v>0</v>
      </c>
      <c r="W73" s="35">
        <f t="shared" si="30"/>
        <v>0</v>
      </c>
      <c r="X73" s="35">
        <f t="shared" si="30"/>
        <v>0</v>
      </c>
      <c r="Y73" s="35">
        <f t="shared" si="30"/>
        <v>0</v>
      </c>
      <c r="Z73" s="35">
        <f t="shared" ref="Z73:AI74" si="31">IF(AND(Z$12-$B$7&gt;=$C73,Z$12-$B$7&lt;=$D73),$B73/($D73-$C73+1),0)</f>
        <v>0</v>
      </c>
      <c r="AA73" s="35">
        <f t="shared" si="31"/>
        <v>0</v>
      </c>
      <c r="AB73" s="35">
        <f t="shared" si="31"/>
        <v>0</v>
      </c>
      <c r="AC73" s="35">
        <f t="shared" si="31"/>
        <v>0</v>
      </c>
      <c r="AD73" s="35">
        <f t="shared" si="31"/>
        <v>0</v>
      </c>
      <c r="AE73" s="35">
        <f t="shared" si="31"/>
        <v>0</v>
      </c>
      <c r="AF73" s="35">
        <f t="shared" si="31"/>
        <v>0</v>
      </c>
      <c r="AG73" s="35">
        <f t="shared" si="31"/>
        <v>0</v>
      </c>
      <c r="AH73" s="35">
        <f t="shared" si="31"/>
        <v>0</v>
      </c>
      <c r="AI73" s="35">
        <f t="shared" si="31"/>
        <v>0</v>
      </c>
      <c r="AJ73" s="35">
        <f t="shared" ref="AJ73:AS74" si="32">IF(AND(AJ$12-$B$7&gt;=$C73,AJ$12-$B$7&lt;=$D73),$B73/($D73-$C73+1),0)</f>
        <v>7083.333333333333</v>
      </c>
      <c r="AK73" s="35">
        <f t="shared" si="32"/>
        <v>7083.333333333333</v>
      </c>
      <c r="AL73" s="35">
        <f t="shared" si="32"/>
        <v>7083.333333333333</v>
      </c>
      <c r="AM73" s="35">
        <f t="shared" si="32"/>
        <v>0</v>
      </c>
      <c r="AN73" s="35">
        <f t="shared" si="32"/>
        <v>0</v>
      </c>
      <c r="AO73" s="35">
        <f t="shared" si="32"/>
        <v>0</v>
      </c>
      <c r="AP73" s="35">
        <f t="shared" si="32"/>
        <v>0</v>
      </c>
      <c r="AQ73" s="35">
        <f t="shared" si="32"/>
        <v>0</v>
      </c>
      <c r="AR73" s="35">
        <f t="shared" si="32"/>
        <v>0</v>
      </c>
      <c r="AS73" s="35">
        <f t="shared" si="32"/>
        <v>0</v>
      </c>
      <c r="AT73" s="35">
        <f t="shared" ref="AT73:BG74" si="33">IF(AND(AT$12-$B$7&gt;=$C73,AT$12-$B$7&lt;=$D73),$B73/($D73-$C73+1),0)</f>
        <v>0</v>
      </c>
      <c r="AU73" s="35">
        <f t="shared" si="33"/>
        <v>0</v>
      </c>
      <c r="AV73" s="35">
        <f t="shared" si="33"/>
        <v>0</v>
      </c>
      <c r="AW73" s="35">
        <f t="shared" si="33"/>
        <v>0</v>
      </c>
      <c r="AX73" s="35">
        <f t="shared" si="33"/>
        <v>0</v>
      </c>
      <c r="AY73" s="35">
        <f t="shared" si="33"/>
        <v>0</v>
      </c>
      <c r="AZ73" s="35">
        <f t="shared" si="33"/>
        <v>0</v>
      </c>
      <c r="BA73" s="35">
        <f t="shared" si="33"/>
        <v>0</v>
      </c>
      <c r="BB73" s="35">
        <f t="shared" si="33"/>
        <v>0</v>
      </c>
      <c r="BC73" s="35">
        <f t="shared" si="33"/>
        <v>0</v>
      </c>
      <c r="BD73" s="35">
        <f t="shared" si="33"/>
        <v>0</v>
      </c>
      <c r="BE73" s="35">
        <f t="shared" si="33"/>
        <v>0</v>
      </c>
      <c r="BF73" s="35">
        <f t="shared" si="33"/>
        <v>0</v>
      </c>
      <c r="BG73" s="35">
        <f t="shared" si="33"/>
        <v>0</v>
      </c>
    </row>
    <row r="74" spans="1:59" x14ac:dyDescent="0.25">
      <c r="A74" s="4" t="s">
        <v>424</v>
      </c>
      <c r="B74" s="26">
        <f>'Hard Costs'!$G$110</f>
        <v>0</v>
      </c>
      <c r="C74" s="6">
        <v>1</v>
      </c>
      <c r="D74" s="6">
        <v>3</v>
      </c>
      <c r="F74" s="35">
        <f t="shared" si="29"/>
        <v>0</v>
      </c>
      <c r="G74" s="35">
        <f t="shared" si="29"/>
        <v>0</v>
      </c>
      <c r="H74" s="35">
        <f t="shared" si="29"/>
        <v>0</v>
      </c>
      <c r="I74" s="35">
        <f t="shared" si="29"/>
        <v>0</v>
      </c>
      <c r="J74" s="35">
        <f t="shared" si="29"/>
        <v>0</v>
      </c>
      <c r="K74" s="35">
        <f t="shared" si="29"/>
        <v>0</v>
      </c>
      <c r="L74" s="35">
        <f t="shared" si="29"/>
        <v>0</v>
      </c>
      <c r="M74" s="35">
        <f t="shared" si="29"/>
        <v>0</v>
      </c>
      <c r="N74" s="35">
        <f t="shared" si="29"/>
        <v>0</v>
      </c>
      <c r="O74" s="35">
        <f t="shared" si="29"/>
        <v>0</v>
      </c>
      <c r="P74" s="35">
        <f t="shared" si="30"/>
        <v>0</v>
      </c>
      <c r="Q74" s="35">
        <f t="shared" si="30"/>
        <v>0</v>
      </c>
      <c r="R74" s="35">
        <f t="shared" si="30"/>
        <v>0</v>
      </c>
      <c r="S74" s="35">
        <f t="shared" si="30"/>
        <v>0</v>
      </c>
      <c r="T74" s="35">
        <f t="shared" si="30"/>
        <v>0</v>
      </c>
      <c r="U74" s="35">
        <f t="shared" si="30"/>
        <v>0</v>
      </c>
      <c r="V74" s="35">
        <f t="shared" si="30"/>
        <v>0</v>
      </c>
      <c r="W74" s="35">
        <f t="shared" si="30"/>
        <v>0</v>
      </c>
      <c r="X74" s="35">
        <f t="shared" si="30"/>
        <v>0</v>
      </c>
      <c r="Y74" s="35">
        <f t="shared" si="30"/>
        <v>0</v>
      </c>
      <c r="Z74" s="35">
        <f t="shared" si="31"/>
        <v>0</v>
      </c>
      <c r="AA74" s="35">
        <f t="shared" si="31"/>
        <v>0</v>
      </c>
      <c r="AB74" s="35">
        <f t="shared" si="31"/>
        <v>0</v>
      </c>
      <c r="AC74" s="35">
        <f t="shared" si="31"/>
        <v>0</v>
      </c>
      <c r="AD74" s="35">
        <f t="shared" si="31"/>
        <v>0</v>
      </c>
      <c r="AE74" s="35">
        <f t="shared" si="31"/>
        <v>0</v>
      </c>
      <c r="AF74" s="35">
        <f t="shared" si="31"/>
        <v>0</v>
      </c>
      <c r="AG74" s="35">
        <f t="shared" si="31"/>
        <v>0</v>
      </c>
      <c r="AH74" s="35">
        <f t="shared" si="31"/>
        <v>0</v>
      </c>
      <c r="AI74" s="35">
        <f t="shared" si="31"/>
        <v>0</v>
      </c>
      <c r="AJ74" s="35">
        <f t="shared" si="32"/>
        <v>0</v>
      </c>
      <c r="AK74" s="35">
        <f t="shared" si="32"/>
        <v>0</v>
      </c>
      <c r="AL74" s="35">
        <f t="shared" si="32"/>
        <v>0</v>
      </c>
      <c r="AM74" s="35">
        <f t="shared" si="32"/>
        <v>0</v>
      </c>
      <c r="AN74" s="35">
        <f t="shared" si="32"/>
        <v>0</v>
      </c>
      <c r="AO74" s="35">
        <f t="shared" si="32"/>
        <v>0</v>
      </c>
      <c r="AP74" s="35">
        <f t="shared" si="32"/>
        <v>0</v>
      </c>
      <c r="AQ74" s="35">
        <f t="shared" si="32"/>
        <v>0</v>
      </c>
      <c r="AR74" s="35">
        <f t="shared" si="32"/>
        <v>0</v>
      </c>
      <c r="AS74" s="35">
        <f t="shared" si="32"/>
        <v>0</v>
      </c>
      <c r="AT74" s="35">
        <f t="shared" si="33"/>
        <v>0</v>
      </c>
      <c r="AU74" s="35">
        <f t="shared" si="33"/>
        <v>0</v>
      </c>
      <c r="AV74" s="35">
        <f t="shared" si="33"/>
        <v>0</v>
      </c>
      <c r="AW74" s="35">
        <f t="shared" si="33"/>
        <v>0</v>
      </c>
      <c r="AX74" s="35">
        <f t="shared" si="33"/>
        <v>0</v>
      </c>
      <c r="AY74" s="35">
        <f t="shared" si="33"/>
        <v>0</v>
      </c>
      <c r="AZ74" s="35">
        <f t="shared" si="33"/>
        <v>0</v>
      </c>
      <c r="BA74" s="35">
        <f t="shared" si="33"/>
        <v>0</v>
      </c>
      <c r="BB74" s="35">
        <f t="shared" si="33"/>
        <v>0</v>
      </c>
      <c r="BC74" s="35">
        <f t="shared" si="33"/>
        <v>0</v>
      </c>
      <c r="BD74" s="35">
        <f t="shared" si="33"/>
        <v>0</v>
      </c>
      <c r="BE74" s="35">
        <f t="shared" si="33"/>
        <v>0</v>
      </c>
      <c r="BF74" s="35">
        <f t="shared" si="33"/>
        <v>0</v>
      </c>
      <c r="BG74" s="35">
        <f t="shared" si="33"/>
        <v>0</v>
      </c>
    </row>
    <row r="75" spans="1:59" ht="13" x14ac:dyDescent="0.3">
      <c r="A75" s="5" t="s">
        <v>425</v>
      </c>
    </row>
    <row r="76" spans="1:59" x14ac:dyDescent="0.25">
      <c r="A76" s="4" t="s">
        <v>426</v>
      </c>
      <c r="B76" s="26">
        <f>'Hard Costs'!$G$115</f>
        <v>572095.96470588248</v>
      </c>
      <c r="C76" s="6">
        <v>1</v>
      </c>
      <c r="D76" s="10">
        <f>$B$8</f>
        <v>20</v>
      </c>
      <c r="F76" s="35">
        <f t="shared" ref="F76:AK76" si="34">IF(AND(F$12-$B$7&gt;=$C76,F$12-$B$7&lt;=$D76),$B76/($D76-$C76+1),0)</f>
        <v>0</v>
      </c>
      <c r="G76" s="35">
        <f t="shared" si="34"/>
        <v>0</v>
      </c>
      <c r="H76" s="35">
        <f t="shared" si="34"/>
        <v>0</v>
      </c>
      <c r="I76" s="35">
        <f t="shared" si="34"/>
        <v>0</v>
      </c>
      <c r="J76" s="35">
        <f t="shared" si="34"/>
        <v>0</v>
      </c>
      <c r="K76" s="35">
        <f t="shared" si="34"/>
        <v>0</v>
      </c>
      <c r="L76" s="35">
        <f t="shared" si="34"/>
        <v>0</v>
      </c>
      <c r="M76" s="35">
        <f t="shared" si="34"/>
        <v>0</v>
      </c>
      <c r="N76" s="35">
        <f t="shared" si="34"/>
        <v>0</v>
      </c>
      <c r="O76" s="35">
        <f t="shared" si="34"/>
        <v>0</v>
      </c>
      <c r="P76" s="35">
        <f t="shared" si="34"/>
        <v>0</v>
      </c>
      <c r="Q76" s="35">
        <f t="shared" si="34"/>
        <v>0</v>
      </c>
      <c r="R76" s="35">
        <f t="shared" si="34"/>
        <v>0</v>
      </c>
      <c r="S76" s="35">
        <f t="shared" si="34"/>
        <v>28604.798235294125</v>
      </c>
      <c r="T76" s="35">
        <f t="shared" si="34"/>
        <v>28604.798235294125</v>
      </c>
      <c r="U76" s="35">
        <f t="shared" si="34"/>
        <v>28604.798235294125</v>
      </c>
      <c r="V76" s="35">
        <f t="shared" si="34"/>
        <v>28604.798235294125</v>
      </c>
      <c r="W76" s="35">
        <f t="shared" si="34"/>
        <v>28604.798235294125</v>
      </c>
      <c r="X76" s="35">
        <f t="shared" si="34"/>
        <v>28604.798235294125</v>
      </c>
      <c r="Y76" s="35">
        <f t="shared" si="34"/>
        <v>28604.798235294125</v>
      </c>
      <c r="Z76" s="35">
        <f t="shared" si="34"/>
        <v>28604.798235294125</v>
      </c>
      <c r="AA76" s="35">
        <f t="shared" si="34"/>
        <v>28604.798235294125</v>
      </c>
      <c r="AB76" s="35">
        <f t="shared" si="34"/>
        <v>28604.798235294125</v>
      </c>
      <c r="AC76" s="35">
        <f t="shared" si="34"/>
        <v>28604.798235294125</v>
      </c>
      <c r="AD76" s="35">
        <f t="shared" si="34"/>
        <v>28604.798235294125</v>
      </c>
      <c r="AE76" s="35">
        <f t="shared" si="34"/>
        <v>28604.798235294125</v>
      </c>
      <c r="AF76" s="35">
        <f t="shared" si="34"/>
        <v>28604.798235294125</v>
      </c>
      <c r="AG76" s="35">
        <f t="shared" si="34"/>
        <v>28604.798235294125</v>
      </c>
      <c r="AH76" s="35">
        <f t="shared" si="34"/>
        <v>28604.798235294125</v>
      </c>
      <c r="AI76" s="35">
        <f t="shared" si="34"/>
        <v>28604.798235294125</v>
      </c>
      <c r="AJ76" s="35">
        <f t="shared" si="34"/>
        <v>28604.798235294125</v>
      </c>
      <c r="AK76" s="35">
        <f t="shared" si="34"/>
        <v>28604.798235294125</v>
      </c>
      <c r="AL76" s="35">
        <f t="shared" ref="AL76:BG76" si="35">IF(AND(AL$12-$B$7&gt;=$C76,AL$12-$B$7&lt;=$D76),$B76/($D76-$C76+1),0)</f>
        <v>28604.798235294125</v>
      </c>
      <c r="AM76" s="35">
        <f t="shared" si="35"/>
        <v>0</v>
      </c>
      <c r="AN76" s="35">
        <f t="shared" si="35"/>
        <v>0</v>
      </c>
      <c r="AO76" s="35">
        <f t="shared" si="35"/>
        <v>0</v>
      </c>
      <c r="AP76" s="35">
        <f t="shared" si="35"/>
        <v>0</v>
      </c>
      <c r="AQ76" s="35">
        <f t="shared" si="35"/>
        <v>0</v>
      </c>
      <c r="AR76" s="35">
        <f t="shared" si="35"/>
        <v>0</v>
      </c>
      <c r="AS76" s="35">
        <f t="shared" si="35"/>
        <v>0</v>
      </c>
      <c r="AT76" s="35">
        <f t="shared" si="35"/>
        <v>0</v>
      </c>
      <c r="AU76" s="35">
        <f t="shared" si="35"/>
        <v>0</v>
      </c>
      <c r="AV76" s="35">
        <f t="shared" si="35"/>
        <v>0</v>
      </c>
      <c r="AW76" s="35">
        <f t="shared" si="35"/>
        <v>0</v>
      </c>
      <c r="AX76" s="35">
        <f t="shared" si="35"/>
        <v>0</v>
      </c>
      <c r="AY76" s="35">
        <f t="shared" si="35"/>
        <v>0</v>
      </c>
      <c r="AZ76" s="35">
        <f t="shared" si="35"/>
        <v>0</v>
      </c>
      <c r="BA76" s="35">
        <f t="shared" si="35"/>
        <v>0</v>
      </c>
      <c r="BB76" s="35">
        <f t="shared" si="35"/>
        <v>0</v>
      </c>
      <c r="BC76" s="35">
        <f t="shared" si="35"/>
        <v>0</v>
      </c>
      <c r="BD76" s="35">
        <f t="shared" si="35"/>
        <v>0</v>
      </c>
      <c r="BE76" s="35">
        <f t="shared" si="35"/>
        <v>0</v>
      </c>
      <c r="BF76" s="35">
        <f t="shared" si="35"/>
        <v>0</v>
      </c>
      <c r="BG76" s="35">
        <f t="shared" si="35"/>
        <v>0</v>
      </c>
    </row>
    <row r="77" spans="1:59" ht="13" x14ac:dyDescent="0.3">
      <c r="A77" s="12" t="s">
        <v>427</v>
      </c>
      <c r="B77" s="13">
        <f>SUM(B29:B76)</f>
        <v>6293055.6117647067</v>
      </c>
      <c r="C77" s="14"/>
      <c r="D77" s="14"/>
      <c r="E77" s="14"/>
      <c r="F77" s="35">
        <f t="shared" ref="F77:AK77" si="36">SUM(F29:F76)</f>
        <v>0</v>
      </c>
      <c r="G77" s="35">
        <f t="shared" si="36"/>
        <v>0</v>
      </c>
      <c r="H77" s="35">
        <f t="shared" si="36"/>
        <v>0</v>
      </c>
      <c r="I77" s="35">
        <f t="shared" si="36"/>
        <v>0</v>
      </c>
      <c r="J77" s="35">
        <f t="shared" si="36"/>
        <v>0</v>
      </c>
      <c r="K77" s="35">
        <f t="shared" si="36"/>
        <v>0</v>
      </c>
      <c r="L77" s="35">
        <f t="shared" si="36"/>
        <v>0</v>
      </c>
      <c r="M77" s="35">
        <f t="shared" si="36"/>
        <v>0</v>
      </c>
      <c r="N77" s="35">
        <f t="shared" si="36"/>
        <v>0</v>
      </c>
      <c r="O77" s="35">
        <f t="shared" si="36"/>
        <v>0</v>
      </c>
      <c r="P77" s="35">
        <f t="shared" si="36"/>
        <v>0</v>
      </c>
      <c r="Q77" s="35">
        <f t="shared" si="36"/>
        <v>0</v>
      </c>
      <c r="R77" s="35">
        <f t="shared" si="36"/>
        <v>0</v>
      </c>
      <c r="S77" s="35">
        <f t="shared" si="36"/>
        <v>28604.798235294125</v>
      </c>
      <c r="T77" s="35">
        <f t="shared" si="36"/>
        <v>150338.13156862746</v>
      </c>
      <c r="U77" s="35">
        <f t="shared" si="36"/>
        <v>150338.13156862746</v>
      </c>
      <c r="V77" s="35">
        <f t="shared" si="36"/>
        <v>184224.79823529412</v>
      </c>
      <c r="W77" s="35">
        <f t="shared" si="36"/>
        <v>90031.46490196079</v>
      </c>
      <c r="X77" s="35">
        <f t="shared" si="36"/>
        <v>192759.73941176472</v>
      </c>
      <c r="Y77" s="35">
        <f t="shared" si="36"/>
        <v>164333.07274509803</v>
      </c>
      <c r="Z77" s="35">
        <f t="shared" si="36"/>
        <v>239023.07274509803</v>
      </c>
      <c r="AA77" s="35">
        <f t="shared" si="36"/>
        <v>307929.07274509803</v>
      </c>
      <c r="AB77" s="35">
        <f t="shared" si="36"/>
        <v>362012.40607843135</v>
      </c>
      <c r="AC77" s="35">
        <f t="shared" si="36"/>
        <v>426017.07274509803</v>
      </c>
      <c r="AD77" s="35">
        <f t="shared" si="36"/>
        <v>432705.38394957979</v>
      </c>
      <c r="AE77" s="35">
        <f t="shared" si="36"/>
        <v>456517.88394957979</v>
      </c>
      <c r="AF77" s="35">
        <f t="shared" si="36"/>
        <v>351073.21728291316</v>
      </c>
      <c r="AG77" s="35">
        <f t="shared" si="36"/>
        <v>418073.21728291316</v>
      </c>
      <c r="AH77" s="35">
        <f t="shared" si="36"/>
        <v>486440.13394957985</v>
      </c>
      <c r="AI77" s="35">
        <f t="shared" si="36"/>
        <v>633279.5006162466</v>
      </c>
      <c r="AJ77" s="35">
        <f t="shared" si="36"/>
        <v>620662.83394957997</v>
      </c>
      <c r="AK77" s="35">
        <f t="shared" si="36"/>
        <v>489148.54823529412</v>
      </c>
      <c r="AL77" s="35">
        <f t="shared" ref="AL77:BQ77" si="37">SUM(AL29:AL76)</f>
        <v>109543.13156862746</v>
      </c>
      <c r="AM77" s="35">
        <f t="shared" si="37"/>
        <v>0</v>
      </c>
      <c r="AN77" s="35">
        <f t="shared" si="37"/>
        <v>0</v>
      </c>
      <c r="AO77" s="35">
        <f t="shared" si="37"/>
        <v>0</v>
      </c>
      <c r="AP77" s="35">
        <f t="shared" si="37"/>
        <v>0</v>
      </c>
      <c r="AQ77" s="35">
        <f t="shared" si="37"/>
        <v>0</v>
      </c>
      <c r="AR77" s="35">
        <f t="shared" si="37"/>
        <v>0</v>
      </c>
      <c r="AS77" s="35">
        <f t="shared" si="37"/>
        <v>0</v>
      </c>
      <c r="AT77" s="35">
        <f t="shared" si="37"/>
        <v>0</v>
      </c>
      <c r="AU77" s="35">
        <f t="shared" si="37"/>
        <v>0</v>
      </c>
      <c r="AV77" s="35">
        <f t="shared" si="37"/>
        <v>0</v>
      </c>
      <c r="AW77" s="35">
        <f t="shared" si="37"/>
        <v>0</v>
      </c>
      <c r="AX77" s="35">
        <f t="shared" si="37"/>
        <v>0</v>
      </c>
      <c r="AY77" s="35">
        <f t="shared" si="37"/>
        <v>0</v>
      </c>
      <c r="AZ77" s="35">
        <f t="shared" si="37"/>
        <v>0</v>
      </c>
      <c r="BA77" s="35">
        <f t="shared" si="37"/>
        <v>0</v>
      </c>
      <c r="BB77" s="35">
        <f t="shared" si="37"/>
        <v>0</v>
      </c>
      <c r="BC77" s="35">
        <f t="shared" si="37"/>
        <v>0</v>
      </c>
      <c r="BD77" s="35">
        <f t="shared" si="37"/>
        <v>0</v>
      </c>
      <c r="BE77" s="35">
        <f t="shared" si="37"/>
        <v>0</v>
      </c>
      <c r="BF77" s="35">
        <f t="shared" si="37"/>
        <v>0</v>
      </c>
      <c r="BG77" s="35">
        <f t="shared" si="37"/>
        <v>0</v>
      </c>
    </row>
    <row r="78" spans="1:59" ht="25" x14ac:dyDescent="0.25">
      <c r="A78" s="4" t="s">
        <v>428</v>
      </c>
      <c r="B78" s="26">
        <f>'Hard Costs'!$G$121-B77</f>
        <v>240044.38823529333</v>
      </c>
      <c r="F78" s="35">
        <f t="shared" ref="F78:AK78" si="38">$B$78*F77/$B$77</f>
        <v>0</v>
      </c>
      <c r="G78" s="35">
        <f t="shared" si="38"/>
        <v>0</v>
      </c>
      <c r="H78" s="35">
        <f t="shared" si="38"/>
        <v>0</v>
      </c>
      <c r="I78" s="35">
        <f t="shared" si="38"/>
        <v>0</v>
      </c>
      <c r="J78" s="35">
        <f t="shared" si="38"/>
        <v>0</v>
      </c>
      <c r="K78" s="35">
        <f t="shared" si="38"/>
        <v>0</v>
      </c>
      <c r="L78" s="35">
        <f t="shared" si="38"/>
        <v>0</v>
      </c>
      <c r="M78" s="35">
        <f t="shared" si="38"/>
        <v>0</v>
      </c>
      <c r="N78" s="35">
        <f t="shared" si="38"/>
        <v>0</v>
      </c>
      <c r="O78" s="35">
        <f t="shared" si="38"/>
        <v>0</v>
      </c>
      <c r="P78" s="35">
        <f t="shared" si="38"/>
        <v>0</v>
      </c>
      <c r="Q78" s="35">
        <f t="shared" si="38"/>
        <v>0</v>
      </c>
      <c r="R78" s="35">
        <f t="shared" si="38"/>
        <v>0</v>
      </c>
      <c r="S78" s="35">
        <f t="shared" si="38"/>
        <v>1091.1108556149698</v>
      </c>
      <c r="T78" s="35">
        <f t="shared" si="38"/>
        <v>5734.5472608509845</v>
      </c>
      <c r="U78" s="35">
        <f t="shared" si="38"/>
        <v>5734.5472608509845</v>
      </c>
      <c r="V78" s="35">
        <f t="shared" si="38"/>
        <v>7027.1314474782939</v>
      </c>
      <c r="W78" s="35">
        <f t="shared" si="38"/>
        <v>3434.1898828791891</v>
      </c>
      <c r="X78" s="35">
        <f t="shared" si="38"/>
        <v>7352.6910579002943</v>
      </c>
      <c r="Y78" s="35">
        <f t="shared" si="38"/>
        <v>6268.3749115735482</v>
      </c>
      <c r="Z78" s="35">
        <f t="shared" si="38"/>
        <v>9117.3748987620311</v>
      </c>
      <c r="AA78" s="35">
        <f t="shared" si="38"/>
        <v>11745.748082818927</v>
      </c>
      <c r="AB78" s="35">
        <f t="shared" si="38"/>
        <v>13808.720582133121</v>
      </c>
      <c r="AC78" s="35">
        <f t="shared" si="38"/>
        <v>16250.135691429365</v>
      </c>
      <c r="AD78" s="35">
        <f t="shared" si="38"/>
        <v>16505.256839319056</v>
      </c>
      <c r="AE78" s="35">
        <f t="shared" si="38"/>
        <v>17413.56869090462</v>
      </c>
      <c r="AF78" s="35">
        <f t="shared" si="38"/>
        <v>13391.452557788714</v>
      </c>
      <c r="AG78" s="35">
        <f t="shared" si="38"/>
        <v>15947.122649389039</v>
      </c>
      <c r="AH78" s="35">
        <f t="shared" si="38"/>
        <v>18554.932861029814</v>
      </c>
      <c r="AI78" s="35">
        <f t="shared" si="38"/>
        <v>24156.022079828828</v>
      </c>
      <c r="AJ78" s="35">
        <f t="shared" si="38"/>
        <v>23674.76778646031</v>
      </c>
      <c r="AK78" s="35">
        <f t="shared" si="38"/>
        <v>18658.243508577023</v>
      </c>
      <c r="AL78" s="35">
        <f t="shared" ref="AL78:BQ78" si="39">$B$78*AL77/$B$77</f>
        <v>4178.4493297041899</v>
      </c>
      <c r="AM78" s="35">
        <f t="shared" si="39"/>
        <v>0</v>
      </c>
      <c r="AN78" s="35">
        <f t="shared" si="39"/>
        <v>0</v>
      </c>
      <c r="AO78" s="35">
        <f t="shared" si="39"/>
        <v>0</v>
      </c>
      <c r="AP78" s="35">
        <f t="shared" si="39"/>
        <v>0</v>
      </c>
      <c r="AQ78" s="35">
        <f t="shared" si="39"/>
        <v>0</v>
      </c>
      <c r="AR78" s="35">
        <f t="shared" si="39"/>
        <v>0</v>
      </c>
      <c r="AS78" s="35">
        <f t="shared" si="39"/>
        <v>0</v>
      </c>
      <c r="AT78" s="35">
        <f t="shared" si="39"/>
        <v>0</v>
      </c>
      <c r="AU78" s="35">
        <f t="shared" si="39"/>
        <v>0</v>
      </c>
      <c r="AV78" s="35">
        <f t="shared" si="39"/>
        <v>0</v>
      </c>
      <c r="AW78" s="35">
        <f t="shared" si="39"/>
        <v>0</v>
      </c>
      <c r="AX78" s="35">
        <f t="shared" si="39"/>
        <v>0</v>
      </c>
      <c r="AY78" s="35">
        <f t="shared" si="39"/>
        <v>0</v>
      </c>
      <c r="AZ78" s="35">
        <f t="shared" si="39"/>
        <v>0</v>
      </c>
      <c r="BA78" s="35">
        <f t="shared" si="39"/>
        <v>0</v>
      </c>
      <c r="BB78" s="35">
        <f t="shared" si="39"/>
        <v>0</v>
      </c>
      <c r="BC78" s="35">
        <f t="shared" si="39"/>
        <v>0</v>
      </c>
      <c r="BD78" s="35">
        <f t="shared" si="39"/>
        <v>0</v>
      </c>
      <c r="BE78" s="35">
        <f t="shared" si="39"/>
        <v>0</v>
      </c>
      <c r="BF78" s="35">
        <f t="shared" si="39"/>
        <v>0</v>
      </c>
      <c r="BG78" s="35">
        <f t="shared" si="39"/>
        <v>0</v>
      </c>
    </row>
    <row r="79" spans="1:59" ht="13" x14ac:dyDescent="0.3">
      <c r="A79" s="15" t="s">
        <v>429</v>
      </c>
      <c r="B79" s="16">
        <f>B77+B78</f>
        <v>6533100</v>
      </c>
      <c r="C79" s="15"/>
      <c r="D79" s="15"/>
      <c r="E79" s="15"/>
      <c r="F79" s="35">
        <f t="shared" ref="F79:AK79" si="40">F77+F78</f>
        <v>0</v>
      </c>
      <c r="G79" s="35">
        <f t="shared" si="40"/>
        <v>0</v>
      </c>
      <c r="H79" s="35">
        <f t="shared" si="40"/>
        <v>0</v>
      </c>
      <c r="I79" s="35">
        <f t="shared" si="40"/>
        <v>0</v>
      </c>
      <c r="J79" s="35">
        <f t="shared" si="40"/>
        <v>0</v>
      </c>
      <c r="K79" s="35">
        <f t="shared" si="40"/>
        <v>0</v>
      </c>
      <c r="L79" s="35">
        <f t="shared" si="40"/>
        <v>0</v>
      </c>
      <c r="M79" s="35">
        <f t="shared" si="40"/>
        <v>0</v>
      </c>
      <c r="N79" s="35">
        <f t="shared" si="40"/>
        <v>0</v>
      </c>
      <c r="O79" s="35">
        <f t="shared" si="40"/>
        <v>0</v>
      </c>
      <c r="P79" s="35">
        <f t="shared" si="40"/>
        <v>0</v>
      </c>
      <c r="Q79" s="35">
        <f t="shared" si="40"/>
        <v>0</v>
      </c>
      <c r="R79" s="35">
        <f t="shared" si="40"/>
        <v>0</v>
      </c>
      <c r="S79" s="35">
        <f t="shared" si="40"/>
        <v>29695.909090909096</v>
      </c>
      <c r="T79" s="35">
        <f t="shared" si="40"/>
        <v>156072.67882947845</v>
      </c>
      <c r="U79" s="35">
        <f t="shared" si="40"/>
        <v>156072.67882947845</v>
      </c>
      <c r="V79" s="35">
        <f t="shared" si="40"/>
        <v>191251.9296827724</v>
      </c>
      <c r="W79" s="35">
        <f t="shared" si="40"/>
        <v>93465.654784839979</v>
      </c>
      <c r="X79" s="35">
        <f t="shared" si="40"/>
        <v>200112.43046966501</v>
      </c>
      <c r="Y79" s="35">
        <f t="shared" si="40"/>
        <v>170601.44765667157</v>
      </c>
      <c r="Z79" s="35">
        <f t="shared" si="40"/>
        <v>248140.44764386007</v>
      </c>
      <c r="AA79" s="35">
        <f t="shared" si="40"/>
        <v>319674.82082791696</v>
      </c>
      <c r="AB79" s="35">
        <f t="shared" si="40"/>
        <v>375821.12666056445</v>
      </c>
      <c r="AC79" s="35">
        <f t="shared" si="40"/>
        <v>442267.20843652741</v>
      </c>
      <c r="AD79" s="35">
        <f t="shared" si="40"/>
        <v>449210.64078889886</v>
      </c>
      <c r="AE79" s="35">
        <f t="shared" si="40"/>
        <v>473931.45264048444</v>
      </c>
      <c r="AF79" s="35">
        <f t="shared" si="40"/>
        <v>364464.66984070186</v>
      </c>
      <c r="AG79" s="35">
        <f t="shared" si="40"/>
        <v>434020.33993230219</v>
      </c>
      <c r="AH79" s="35">
        <f t="shared" si="40"/>
        <v>504995.06681060966</v>
      </c>
      <c r="AI79" s="35">
        <f t="shared" si="40"/>
        <v>657435.52269607538</v>
      </c>
      <c r="AJ79" s="35">
        <f t="shared" si="40"/>
        <v>644337.60173604032</v>
      </c>
      <c r="AK79" s="35">
        <f t="shared" si="40"/>
        <v>507806.79174387112</v>
      </c>
      <c r="AL79" s="35">
        <f t="shared" ref="AL79:BQ79" si="41">AL77+AL78</f>
        <v>113721.58089833165</v>
      </c>
      <c r="AM79" s="35">
        <f t="shared" si="41"/>
        <v>0</v>
      </c>
      <c r="AN79" s="35">
        <f t="shared" si="41"/>
        <v>0</v>
      </c>
      <c r="AO79" s="35">
        <f t="shared" si="41"/>
        <v>0</v>
      </c>
      <c r="AP79" s="35">
        <f t="shared" si="41"/>
        <v>0</v>
      </c>
      <c r="AQ79" s="35">
        <f t="shared" si="41"/>
        <v>0</v>
      </c>
      <c r="AR79" s="35">
        <f t="shared" si="41"/>
        <v>0</v>
      </c>
      <c r="AS79" s="35">
        <f t="shared" si="41"/>
        <v>0</v>
      </c>
      <c r="AT79" s="35">
        <f t="shared" si="41"/>
        <v>0</v>
      </c>
      <c r="AU79" s="35">
        <f t="shared" si="41"/>
        <v>0</v>
      </c>
      <c r="AV79" s="35">
        <f t="shared" si="41"/>
        <v>0</v>
      </c>
      <c r="AW79" s="35">
        <f t="shared" si="41"/>
        <v>0</v>
      </c>
      <c r="AX79" s="35">
        <f t="shared" si="41"/>
        <v>0</v>
      </c>
      <c r="AY79" s="35">
        <f t="shared" si="41"/>
        <v>0</v>
      </c>
      <c r="AZ79" s="35">
        <f t="shared" si="41"/>
        <v>0</v>
      </c>
      <c r="BA79" s="35">
        <f t="shared" si="41"/>
        <v>0</v>
      </c>
      <c r="BB79" s="35">
        <f t="shared" si="41"/>
        <v>0</v>
      </c>
      <c r="BC79" s="35">
        <f t="shared" si="41"/>
        <v>0</v>
      </c>
      <c r="BD79" s="35">
        <f t="shared" si="41"/>
        <v>0</v>
      </c>
      <c r="BE79" s="35">
        <f t="shared" si="41"/>
        <v>0</v>
      </c>
      <c r="BF79" s="35">
        <f t="shared" si="41"/>
        <v>0</v>
      </c>
      <c r="BG79" s="35">
        <f t="shared" si="41"/>
        <v>0</v>
      </c>
    </row>
    <row r="80" spans="1:59" x14ac:dyDescent="0.25">
      <c r="A80" s="4" t="s">
        <v>430</v>
      </c>
      <c r="F80" s="35">
        <f>SUM($F$79:F79)</f>
        <v>0</v>
      </c>
      <c r="G80" s="35">
        <f>SUM($F$79:G79)</f>
        <v>0</v>
      </c>
      <c r="H80" s="35">
        <f>SUM($F$79:H79)</f>
        <v>0</v>
      </c>
      <c r="I80" s="35">
        <f>SUM($F$79:I79)</f>
        <v>0</v>
      </c>
      <c r="J80" s="35">
        <f>SUM($F$79:J79)</f>
        <v>0</v>
      </c>
      <c r="K80" s="35">
        <f>SUM($F$79:K79)</f>
        <v>0</v>
      </c>
      <c r="L80" s="35">
        <f>SUM($F$79:L79)</f>
        <v>0</v>
      </c>
      <c r="M80" s="35">
        <f>SUM($F$79:M79)</f>
        <v>0</v>
      </c>
      <c r="N80" s="35">
        <f>SUM($F$79:N79)</f>
        <v>0</v>
      </c>
      <c r="O80" s="35">
        <f>SUM($F$79:O79)</f>
        <v>0</v>
      </c>
      <c r="P80" s="35">
        <f>SUM($F$79:P79)</f>
        <v>0</v>
      </c>
      <c r="Q80" s="35">
        <f>SUM($F$79:Q79)</f>
        <v>0</v>
      </c>
      <c r="R80" s="35">
        <f>SUM($F$79:R79)</f>
        <v>0</v>
      </c>
      <c r="S80" s="35">
        <f>SUM($F$79:S79)</f>
        <v>29695.909090909096</v>
      </c>
      <c r="T80" s="35">
        <f>SUM($F$79:T79)</f>
        <v>185768.58792038754</v>
      </c>
      <c r="U80" s="35">
        <f>SUM($F$79:U79)</f>
        <v>341841.26674986596</v>
      </c>
      <c r="V80" s="35">
        <f>SUM($F$79:V79)</f>
        <v>533093.19643263833</v>
      </c>
      <c r="W80" s="35">
        <f>SUM($F$79:W79)</f>
        <v>626558.85121747828</v>
      </c>
      <c r="X80" s="35">
        <f>SUM($F$79:X79)</f>
        <v>826671.28168714326</v>
      </c>
      <c r="Y80" s="35">
        <f>SUM($F$79:Y79)</f>
        <v>997272.72934381478</v>
      </c>
      <c r="Z80" s="35">
        <f>SUM($F$79:Z79)</f>
        <v>1245413.1769876748</v>
      </c>
      <c r="AA80" s="35">
        <f>SUM($F$79:AA79)</f>
        <v>1565087.9978155917</v>
      </c>
      <c r="AB80" s="35">
        <f>SUM($F$79:AB79)</f>
        <v>1940909.1244761562</v>
      </c>
      <c r="AC80" s="35">
        <f>SUM($F$79:AC79)</f>
        <v>2383176.3329126835</v>
      </c>
      <c r="AD80" s="35">
        <f>SUM($F$79:AD79)</f>
        <v>2832386.9737015823</v>
      </c>
      <c r="AE80" s="35">
        <f>SUM($F$79:AE79)</f>
        <v>3306318.4263420668</v>
      </c>
      <c r="AF80" s="35">
        <f>SUM($F$79:AF79)</f>
        <v>3670783.0961827687</v>
      </c>
      <c r="AG80" s="35">
        <f>SUM($F$79:AG79)</f>
        <v>4104803.4361150707</v>
      </c>
      <c r="AH80" s="35">
        <f>SUM($F$79:AH79)</f>
        <v>4609798.50292568</v>
      </c>
      <c r="AI80" s="35">
        <f>SUM($F$79:AI79)</f>
        <v>5267234.025621755</v>
      </c>
      <c r="AJ80" s="35">
        <f>SUM($F$79:AJ79)</f>
        <v>5911571.6273577958</v>
      </c>
      <c r="AK80" s="35">
        <f>SUM($F$79:AK79)</f>
        <v>6419378.4191016667</v>
      </c>
      <c r="AL80" s="35">
        <f>SUM($F$79:AL79)</f>
        <v>6533099.9999999981</v>
      </c>
      <c r="AM80" s="35">
        <f>SUM($F$79:AM79)</f>
        <v>6533099.9999999981</v>
      </c>
      <c r="AN80" s="35">
        <f>SUM($F$79:AN79)</f>
        <v>6533099.9999999981</v>
      </c>
      <c r="AO80" s="35">
        <f>SUM($F$79:AO79)</f>
        <v>6533099.9999999981</v>
      </c>
      <c r="AP80" s="35">
        <f>SUM($F$79:AP79)</f>
        <v>6533099.9999999981</v>
      </c>
      <c r="AQ80" s="35">
        <f>SUM($F$79:AQ79)</f>
        <v>6533099.9999999981</v>
      </c>
      <c r="AR80" s="35">
        <f>SUM($F$79:AR79)</f>
        <v>6533099.9999999981</v>
      </c>
      <c r="AS80" s="35">
        <f>SUM($F$79:AS79)</f>
        <v>6533099.9999999981</v>
      </c>
      <c r="AT80" s="35">
        <f>SUM($F$79:AT79)</f>
        <v>6533099.9999999981</v>
      </c>
      <c r="AU80" s="35">
        <f>SUM($F$79:AU79)</f>
        <v>6533099.9999999981</v>
      </c>
      <c r="AV80" s="35">
        <f>SUM($F$79:AV79)</f>
        <v>6533099.9999999981</v>
      </c>
      <c r="AW80" s="35">
        <f>SUM($F$79:AW79)</f>
        <v>6533099.9999999981</v>
      </c>
      <c r="AX80" s="35">
        <f>SUM($F$79:AX79)</f>
        <v>6533099.9999999981</v>
      </c>
      <c r="AY80" s="35">
        <f>SUM($F$79:AY79)</f>
        <v>6533099.9999999981</v>
      </c>
      <c r="AZ80" s="35">
        <f>SUM($F$79:AZ79)</f>
        <v>6533099.9999999981</v>
      </c>
      <c r="BA80" s="35">
        <f>SUM($F$79:BA79)</f>
        <v>6533099.9999999981</v>
      </c>
      <c r="BB80" s="35">
        <f>SUM($F$79:BB79)</f>
        <v>6533099.9999999981</v>
      </c>
      <c r="BC80" s="35">
        <f>SUM($F$79:BC79)</f>
        <v>6533099.9999999981</v>
      </c>
      <c r="BD80" s="35">
        <f>SUM($F$79:BD79)</f>
        <v>6533099.9999999981</v>
      </c>
      <c r="BE80" s="35">
        <f>SUM($F$79:BE79)</f>
        <v>6533099.9999999981</v>
      </c>
      <c r="BF80" s="35">
        <f>SUM($F$79:BF79)</f>
        <v>6533099.9999999981</v>
      </c>
      <c r="BG80" s="35">
        <f>SUM($F$79:BG79)</f>
        <v>6533099.9999999981</v>
      </c>
    </row>
    <row r="81" spans="1:59" x14ac:dyDescent="0.25">
      <c r="A81" s="4" t="s">
        <v>431</v>
      </c>
      <c r="F81" s="11" t="str">
        <f t="shared" ref="F81:AK81" si="42">IF(F79=0,"",F79/$B$79)</f>
        <v/>
      </c>
      <c r="G81" s="11" t="str">
        <f t="shared" si="42"/>
        <v/>
      </c>
      <c r="H81" s="11" t="str">
        <f t="shared" si="42"/>
        <v/>
      </c>
      <c r="I81" s="11" t="str">
        <f t="shared" si="42"/>
        <v/>
      </c>
      <c r="J81" s="11" t="str">
        <f t="shared" si="42"/>
        <v/>
      </c>
      <c r="K81" s="11" t="str">
        <f t="shared" si="42"/>
        <v/>
      </c>
      <c r="L81" s="11" t="str">
        <f t="shared" si="42"/>
        <v/>
      </c>
      <c r="M81" s="11" t="str">
        <f t="shared" si="42"/>
        <v/>
      </c>
      <c r="N81" s="11" t="str">
        <f t="shared" si="42"/>
        <v/>
      </c>
      <c r="O81" s="11" t="str">
        <f t="shared" si="42"/>
        <v/>
      </c>
      <c r="P81" s="11" t="str">
        <f t="shared" si="42"/>
        <v/>
      </c>
      <c r="Q81" s="11" t="str">
        <f t="shared" si="42"/>
        <v/>
      </c>
      <c r="R81" s="11" t="str">
        <f t="shared" si="42"/>
        <v/>
      </c>
      <c r="S81" s="11">
        <f t="shared" si="42"/>
        <v>4.5454545454545461E-3</v>
      </c>
      <c r="T81" s="11">
        <f t="shared" si="42"/>
        <v>2.3889528528490064E-2</v>
      </c>
      <c r="U81" s="11">
        <f t="shared" si="42"/>
        <v>2.3889528528490064E-2</v>
      </c>
      <c r="V81" s="11">
        <f t="shared" si="42"/>
        <v>2.9274300053997705E-2</v>
      </c>
      <c r="W81" s="11">
        <f t="shared" si="42"/>
        <v>1.4306478514769402E-2</v>
      </c>
      <c r="X81" s="11">
        <f t="shared" si="42"/>
        <v>3.0630547591444339E-2</v>
      </c>
      <c r="Y81" s="11">
        <f t="shared" si="42"/>
        <v>2.6113399099458385E-2</v>
      </c>
      <c r="Z81" s="11">
        <f t="shared" si="42"/>
        <v>3.798203726314614E-2</v>
      </c>
      <c r="AA81" s="11">
        <f t="shared" si="42"/>
        <v>4.8931567070443889E-2</v>
      </c>
      <c r="AB81" s="11">
        <f t="shared" si="42"/>
        <v>5.752569632495514E-2</v>
      </c>
      <c r="AC81" s="11">
        <f t="shared" si="42"/>
        <v>6.7696378202771634E-2</v>
      </c>
      <c r="AD81" s="11">
        <f t="shared" si="42"/>
        <v>6.8759186418223942E-2</v>
      </c>
      <c r="AE81" s="11">
        <f t="shared" si="42"/>
        <v>7.2543119291069241E-2</v>
      </c>
      <c r="AF81" s="11">
        <f t="shared" si="42"/>
        <v>5.5787401056267602E-2</v>
      </c>
      <c r="AG81" s="11">
        <f t="shared" si="42"/>
        <v>6.6434057328420226E-2</v>
      </c>
      <c r="AH81" s="11">
        <f t="shared" si="42"/>
        <v>7.7297923927478474E-2</v>
      </c>
      <c r="AI81" s="11">
        <f t="shared" si="42"/>
        <v>0.10063148010838276</v>
      </c>
      <c r="AJ81" s="11">
        <f t="shared" si="42"/>
        <v>9.8626624685989858E-2</v>
      </c>
      <c r="AK81" s="11">
        <f t="shared" si="42"/>
        <v>7.7728305359457392E-2</v>
      </c>
      <c r="AL81" s="11">
        <f t="shared" ref="AL81:BG81" si="43">IF(AL79=0,"",AL79/$B$79)</f>
        <v>1.7406986101289074E-2</v>
      </c>
      <c r="AM81" s="11" t="str">
        <f t="shared" si="43"/>
        <v/>
      </c>
      <c r="AN81" s="11" t="str">
        <f t="shared" si="43"/>
        <v/>
      </c>
      <c r="AO81" s="11" t="str">
        <f t="shared" si="43"/>
        <v/>
      </c>
      <c r="AP81" s="11" t="str">
        <f t="shared" si="43"/>
        <v/>
      </c>
      <c r="AQ81" s="11" t="str">
        <f t="shared" si="43"/>
        <v/>
      </c>
      <c r="AR81" s="11" t="str">
        <f t="shared" si="43"/>
        <v/>
      </c>
      <c r="AS81" s="11" t="str">
        <f t="shared" si="43"/>
        <v/>
      </c>
      <c r="AT81" s="11" t="str">
        <f t="shared" si="43"/>
        <v/>
      </c>
      <c r="AU81" s="11" t="str">
        <f t="shared" si="43"/>
        <v/>
      </c>
      <c r="AV81" s="11" t="str">
        <f t="shared" si="43"/>
        <v/>
      </c>
      <c r="AW81" s="11" t="str">
        <f t="shared" si="43"/>
        <v/>
      </c>
      <c r="AX81" s="11" t="str">
        <f t="shared" si="43"/>
        <v/>
      </c>
      <c r="AY81" s="11" t="str">
        <f t="shared" si="43"/>
        <v/>
      </c>
      <c r="AZ81" s="11" t="str">
        <f t="shared" si="43"/>
        <v/>
      </c>
      <c r="BA81" s="11" t="str">
        <f t="shared" si="43"/>
        <v/>
      </c>
      <c r="BB81" s="11" t="str">
        <f t="shared" si="43"/>
        <v/>
      </c>
      <c r="BC81" s="11" t="str">
        <f t="shared" si="43"/>
        <v/>
      </c>
      <c r="BD81" s="11" t="str">
        <f t="shared" si="43"/>
        <v/>
      </c>
      <c r="BE81" s="11" t="str">
        <f t="shared" si="43"/>
        <v/>
      </c>
      <c r="BF81" s="11" t="str">
        <f t="shared" si="43"/>
        <v/>
      </c>
      <c r="BG81" s="11" t="str">
        <f t="shared" si="43"/>
        <v/>
      </c>
    </row>
    <row r="82" spans="1:59" x14ac:dyDescent="0.25">
      <c r="A82" s="4" t="s">
        <v>432</v>
      </c>
      <c r="F82" s="11" t="str">
        <f t="shared" ref="F82:AK82" si="44">IF(F12&lt;=$B$7,"",F80/$B$79)</f>
        <v/>
      </c>
      <c r="G82" s="11" t="str">
        <f t="shared" si="44"/>
        <v/>
      </c>
      <c r="H82" s="11" t="str">
        <f t="shared" si="44"/>
        <v/>
      </c>
      <c r="I82" s="11" t="str">
        <f t="shared" si="44"/>
        <v/>
      </c>
      <c r="J82" s="11" t="str">
        <f t="shared" si="44"/>
        <v/>
      </c>
      <c r="K82" s="11" t="str">
        <f t="shared" si="44"/>
        <v/>
      </c>
      <c r="L82" s="11" t="str">
        <f t="shared" si="44"/>
        <v/>
      </c>
      <c r="M82" s="11" t="str">
        <f t="shared" si="44"/>
        <v/>
      </c>
      <c r="N82" s="11" t="str">
        <f t="shared" si="44"/>
        <v/>
      </c>
      <c r="O82" s="11" t="str">
        <f t="shared" si="44"/>
        <v/>
      </c>
      <c r="P82" s="11" t="str">
        <f t="shared" si="44"/>
        <v/>
      </c>
      <c r="Q82" s="11" t="str">
        <f t="shared" si="44"/>
        <v/>
      </c>
      <c r="R82" s="11" t="str">
        <f t="shared" si="44"/>
        <v/>
      </c>
      <c r="S82" s="11">
        <f t="shared" si="44"/>
        <v>4.5454545454545461E-3</v>
      </c>
      <c r="T82" s="11">
        <f t="shared" si="44"/>
        <v>2.8434983073944611E-2</v>
      </c>
      <c r="U82" s="11">
        <f t="shared" si="44"/>
        <v>5.2324511602434676E-2</v>
      </c>
      <c r="V82" s="11">
        <f t="shared" si="44"/>
        <v>8.1598811656432374E-2</v>
      </c>
      <c r="W82" s="11">
        <f t="shared" si="44"/>
        <v>9.5905290171201765E-2</v>
      </c>
      <c r="X82" s="11">
        <f t="shared" si="44"/>
        <v>0.1265358377626461</v>
      </c>
      <c r="Y82" s="11">
        <f t="shared" si="44"/>
        <v>0.15264923686210449</v>
      </c>
      <c r="Z82" s="11">
        <f t="shared" si="44"/>
        <v>0.1906312741252506</v>
      </c>
      <c r="AA82" s="11">
        <f t="shared" si="44"/>
        <v>0.23956284119569451</v>
      </c>
      <c r="AB82" s="11">
        <f t="shared" si="44"/>
        <v>0.29708853752064962</v>
      </c>
      <c r="AC82" s="11">
        <f t="shared" si="44"/>
        <v>0.36478491572342125</v>
      </c>
      <c r="AD82" s="11">
        <f t="shared" si="44"/>
        <v>0.43354410214164518</v>
      </c>
      <c r="AE82" s="11">
        <f t="shared" si="44"/>
        <v>0.50608722143271445</v>
      </c>
      <c r="AF82" s="11">
        <f t="shared" si="44"/>
        <v>0.56187462248898201</v>
      </c>
      <c r="AG82" s="11">
        <f t="shared" si="44"/>
        <v>0.62830867981740224</v>
      </c>
      <c r="AH82" s="11">
        <f t="shared" si="44"/>
        <v>0.70560660374488071</v>
      </c>
      <c r="AI82" s="11">
        <f t="shared" si="44"/>
        <v>0.80623808385326334</v>
      </c>
      <c r="AJ82" s="11">
        <f t="shared" si="44"/>
        <v>0.90486470853925327</v>
      </c>
      <c r="AK82" s="11">
        <f t="shared" si="44"/>
        <v>0.98259301389871068</v>
      </c>
      <c r="AL82" s="11">
        <f t="shared" ref="AL82:BG82" si="45">IF(AL12&lt;=$B$7,"",AL80/$B$79)</f>
        <v>0.99999999999999967</v>
      </c>
      <c r="AM82" s="11">
        <f t="shared" si="45"/>
        <v>0.99999999999999967</v>
      </c>
      <c r="AN82" s="11">
        <f t="shared" si="45"/>
        <v>0.99999999999999967</v>
      </c>
      <c r="AO82" s="11">
        <f t="shared" si="45"/>
        <v>0.99999999999999967</v>
      </c>
      <c r="AP82" s="11">
        <f t="shared" si="45"/>
        <v>0.99999999999999967</v>
      </c>
      <c r="AQ82" s="11">
        <f t="shared" si="45"/>
        <v>0.99999999999999967</v>
      </c>
      <c r="AR82" s="11">
        <f t="shared" si="45"/>
        <v>0.99999999999999967</v>
      </c>
      <c r="AS82" s="11">
        <f t="shared" si="45"/>
        <v>0.99999999999999967</v>
      </c>
      <c r="AT82" s="11">
        <f t="shared" si="45"/>
        <v>0.99999999999999967</v>
      </c>
      <c r="AU82" s="11">
        <f t="shared" si="45"/>
        <v>0.99999999999999967</v>
      </c>
      <c r="AV82" s="11">
        <f t="shared" si="45"/>
        <v>0.99999999999999967</v>
      </c>
      <c r="AW82" s="11">
        <f t="shared" si="45"/>
        <v>0.99999999999999967</v>
      </c>
      <c r="AX82" s="11">
        <f t="shared" si="45"/>
        <v>0.99999999999999967</v>
      </c>
      <c r="AY82" s="11">
        <f t="shared" si="45"/>
        <v>0.99999999999999967</v>
      </c>
      <c r="AZ82" s="11">
        <f t="shared" si="45"/>
        <v>0.99999999999999967</v>
      </c>
      <c r="BA82" s="11">
        <f t="shared" si="45"/>
        <v>0.99999999999999967</v>
      </c>
      <c r="BB82" s="11">
        <f t="shared" si="45"/>
        <v>0.99999999999999967</v>
      </c>
      <c r="BC82" s="11">
        <f t="shared" si="45"/>
        <v>0.99999999999999967</v>
      </c>
      <c r="BD82" s="11">
        <f t="shared" si="45"/>
        <v>0.99999999999999967</v>
      </c>
      <c r="BE82" s="11">
        <f t="shared" si="45"/>
        <v>0.99999999999999967</v>
      </c>
      <c r="BF82" s="11">
        <f t="shared" si="45"/>
        <v>0.99999999999999967</v>
      </c>
      <c r="BG82" s="11">
        <f t="shared" si="45"/>
        <v>0.99999999999999967</v>
      </c>
    </row>
    <row r="83" spans="1:59" ht="25" x14ac:dyDescent="0.25">
      <c r="A83" s="4" t="s">
        <v>433</v>
      </c>
      <c r="B83" s="9">
        <f>SUM(F79:BG79)-'Hard Costs'!$G$121</f>
        <v>0</v>
      </c>
    </row>
    <row r="85" spans="1:59" ht="13" x14ac:dyDescent="0.3">
      <c r="A85" s="18" t="s">
        <v>434</v>
      </c>
      <c r="F85" s="2" t="s">
        <v>435</v>
      </c>
    </row>
    <row r="86" spans="1:59" x14ac:dyDescent="0.25">
      <c r="A86" s="4" t="s">
        <v>436</v>
      </c>
      <c r="C86" s="10">
        <f>$B$10</f>
        <v>12</v>
      </c>
      <c r="D86" s="10">
        <f>$B$7+$B$8</f>
        <v>26</v>
      </c>
      <c r="F86" s="36">
        <f t="shared" ref="F86:O87" si="46">IF(AND(F$12&gt;=$C86,F$12&lt;=$D86),1,0)</f>
        <v>0</v>
      </c>
      <c r="G86" s="36">
        <f t="shared" si="46"/>
        <v>0</v>
      </c>
      <c r="H86" s="36">
        <f t="shared" si="46"/>
        <v>0</v>
      </c>
      <c r="I86" s="36">
        <f t="shared" si="46"/>
        <v>0</v>
      </c>
      <c r="J86" s="36">
        <f t="shared" si="46"/>
        <v>0</v>
      </c>
      <c r="K86" s="36">
        <f t="shared" si="46"/>
        <v>0</v>
      </c>
      <c r="L86" s="36">
        <f t="shared" si="46"/>
        <v>0</v>
      </c>
      <c r="M86" s="36">
        <f t="shared" si="46"/>
        <v>0</v>
      </c>
      <c r="N86" s="36">
        <f t="shared" si="46"/>
        <v>0</v>
      </c>
      <c r="O86" s="36">
        <f t="shared" si="46"/>
        <v>0</v>
      </c>
      <c r="P86" s="36">
        <f t="shared" ref="P86:Y87" si="47">IF(AND(P$12&gt;=$C86,P$12&lt;=$D86),1,0)</f>
        <v>0</v>
      </c>
      <c r="Q86" s="36">
        <f t="shared" si="47"/>
        <v>0</v>
      </c>
      <c r="R86" s="36">
        <f t="shared" si="47"/>
        <v>0</v>
      </c>
      <c r="S86" s="36">
        <f t="shared" si="47"/>
        <v>0</v>
      </c>
      <c r="T86" s="36">
        <f t="shared" si="47"/>
        <v>0</v>
      </c>
      <c r="U86" s="36">
        <f t="shared" si="47"/>
        <v>0</v>
      </c>
      <c r="V86" s="36">
        <f t="shared" si="47"/>
        <v>0</v>
      </c>
      <c r="W86" s="36">
        <f t="shared" si="47"/>
        <v>0</v>
      </c>
      <c r="X86" s="36">
        <f t="shared" si="47"/>
        <v>1</v>
      </c>
      <c r="Y86" s="36">
        <f t="shared" si="47"/>
        <v>1</v>
      </c>
      <c r="Z86" s="36">
        <f t="shared" ref="Z86:AI87" si="48">IF(AND(Z$12&gt;=$C86,Z$12&lt;=$D86),1,0)</f>
        <v>1</v>
      </c>
      <c r="AA86" s="36">
        <f t="shared" si="48"/>
        <v>1</v>
      </c>
      <c r="AB86" s="36">
        <f t="shared" si="48"/>
        <v>1</v>
      </c>
      <c r="AC86" s="36">
        <f t="shared" si="48"/>
        <v>1</v>
      </c>
      <c r="AD86" s="36">
        <f t="shared" si="48"/>
        <v>1</v>
      </c>
      <c r="AE86" s="36">
        <f t="shared" si="48"/>
        <v>1</v>
      </c>
      <c r="AF86" s="36">
        <f t="shared" si="48"/>
        <v>1</v>
      </c>
      <c r="AG86" s="36">
        <f t="shared" si="48"/>
        <v>1</v>
      </c>
      <c r="AH86" s="36">
        <f t="shared" si="48"/>
        <v>1</v>
      </c>
      <c r="AI86" s="36">
        <f t="shared" si="48"/>
        <v>1</v>
      </c>
      <c r="AJ86" s="36">
        <f t="shared" ref="AJ86:AS87" si="49">IF(AND(AJ$12&gt;=$C86,AJ$12&lt;=$D86),1,0)</f>
        <v>1</v>
      </c>
      <c r="AK86" s="36">
        <f t="shared" si="49"/>
        <v>1</v>
      </c>
      <c r="AL86" s="36">
        <f t="shared" si="49"/>
        <v>1</v>
      </c>
      <c r="AM86" s="36">
        <f t="shared" si="49"/>
        <v>0</v>
      </c>
      <c r="AN86" s="36">
        <f t="shared" si="49"/>
        <v>0</v>
      </c>
      <c r="AO86" s="36">
        <f t="shared" si="49"/>
        <v>0</v>
      </c>
      <c r="AP86" s="36">
        <f t="shared" si="49"/>
        <v>0</v>
      </c>
      <c r="AQ86" s="36">
        <f t="shared" si="49"/>
        <v>0</v>
      </c>
      <c r="AR86" s="36">
        <f t="shared" si="49"/>
        <v>0</v>
      </c>
      <c r="AS86" s="36">
        <f t="shared" si="49"/>
        <v>0</v>
      </c>
      <c r="AT86" s="36">
        <f t="shared" ref="AT86:BG87" si="50">IF(AND(AT$12&gt;=$C86,AT$12&lt;=$D86),1,0)</f>
        <v>0</v>
      </c>
      <c r="AU86" s="36">
        <f t="shared" si="50"/>
        <v>0</v>
      </c>
      <c r="AV86" s="36">
        <f t="shared" si="50"/>
        <v>0</v>
      </c>
      <c r="AW86" s="36">
        <f t="shared" si="50"/>
        <v>0</v>
      </c>
      <c r="AX86" s="36">
        <f t="shared" si="50"/>
        <v>0</v>
      </c>
      <c r="AY86" s="36">
        <f t="shared" si="50"/>
        <v>0</v>
      </c>
      <c r="AZ86" s="36">
        <f t="shared" si="50"/>
        <v>0</v>
      </c>
      <c r="BA86" s="36">
        <f t="shared" si="50"/>
        <v>0</v>
      </c>
      <c r="BB86" s="36">
        <f t="shared" si="50"/>
        <v>0</v>
      </c>
      <c r="BC86" s="36">
        <f t="shared" si="50"/>
        <v>0</v>
      </c>
      <c r="BD86" s="36">
        <f t="shared" si="50"/>
        <v>0</v>
      </c>
      <c r="BE86" s="36">
        <f t="shared" si="50"/>
        <v>0</v>
      </c>
      <c r="BF86" s="36">
        <f t="shared" si="50"/>
        <v>0</v>
      </c>
      <c r="BG86" s="36">
        <f t="shared" si="50"/>
        <v>0</v>
      </c>
    </row>
    <row r="87" spans="1:59" x14ac:dyDescent="0.25">
      <c r="A87" s="4" t="s">
        <v>437</v>
      </c>
      <c r="C87" s="10">
        <f>$B$7+$B$8+1</f>
        <v>27</v>
      </c>
      <c r="D87" s="10">
        <f>$B$7+$B$8+2</f>
        <v>28</v>
      </c>
      <c r="F87" s="36">
        <f t="shared" si="46"/>
        <v>0</v>
      </c>
      <c r="G87" s="36">
        <f t="shared" si="46"/>
        <v>0</v>
      </c>
      <c r="H87" s="36">
        <f t="shared" si="46"/>
        <v>0</v>
      </c>
      <c r="I87" s="36">
        <f t="shared" si="46"/>
        <v>0</v>
      </c>
      <c r="J87" s="36">
        <f t="shared" si="46"/>
        <v>0</v>
      </c>
      <c r="K87" s="36">
        <f t="shared" si="46"/>
        <v>0</v>
      </c>
      <c r="L87" s="36">
        <f t="shared" si="46"/>
        <v>0</v>
      </c>
      <c r="M87" s="36">
        <f t="shared" si="46"/>
        <v>0</v>
      </c>
      <c r="N87" s="36">
        <f t="shared" si="46"/>
        <v>0</v>
      </c>
      <c r="O87" s="36">
        <f t="shared" si="46"/>
        <v>0</v>
      </c>
      <c r="P87" s="36">
        <f t="shared" si="47"/>
        <v>0</v>
      </c>
      <c r="Q87" s="36">
        <f t="shared" si="47"/>
        <v>0</v>
      </c>
      <c r="R87" s="36">
        <f t="shared" si="47"/>
        <v>0</v>
      </c>
      <c r="S87" s="36">
        <f t="shared" si="47"/>
        <v>0</v>
      </c>
      <c r="T87" s="36">
        <f t="shared" si="47"/>
        <v>0</v>
      </c>
      <c r="U87" s="36">
        <f t="shared" si="47"/>
        <v>0</v>
      </c>
      <c r="V87" s="36">
        <f t="shared" si="47"/>
        <v>0</v>
      </c>
      <c r="W87" s="36">
        <f t="shared" si="47"/>
        <v>0</v>
      </c>
      <c r="X87" s="36">
        <f t="shared" si="47"/>
        <v>0</v>
      </c>
      <c r="Y87" s="36">
        <f t="shared" si="47"/>
        <v>0</v>
      </c>
      <c r="Z87" s="36">
        <f t="shared" si="48"/>
        <v>0</v>
      </c>
      <c r="AA87" s="36">
        <f t="shared" si="48"/>
        <v>0</v>
      </c>
      <c r="AB87" s="36">
        <f t="shared" si="48"/>
        <v>0</v>
      </c>
      <c r="AC87" s="36">
        <f t="shared" si="48"/>
        <v>0</v>
      </c>
      <c r="AD87" s="36">
        <f t="shared" si="48"/>
        <v>0</v>
      </c>
      <c r="AE87" s="36">
        <f t="shared" si="48"/>
        <v>0</v>
      </c>
      <c r="AF87" s="36">
        <f t="shared" si="48"/>
        <v>0</v>
      </c>
      <c r="AG87" s="36">
        <f t="shared" si="48"/>
        <v>0</v>
      </c>
      <c r="AH87" s="36">
        <f t="shared" si="48"/>
        <v>0</v>
      </c>
      <c r="AI87" s="36">
        <f t="shared" si="48"/>
        <v>0</v>
      </c>
      <c r="AJ87" s="36">
        <f t="shared" si="49"/>
        <v>0</v>
      </c>
      <c r="AK87" s="36">
        <f t="shared" si="49"/>
        <v>0</v>
      </c>
      <c r="AL87" s="36">
        <f t="shared" si="49"/>
        <v>0</v>
      </c>
      <c r="AM87" s="36">
        <f t="shared" si="49"/>
        <v>1</v>
      </c>
      <c r="AN87" s="36">
        <f t="shared" si="49"/>
        <v>1</v>
      </c>
      <c r="AO87" s="36">
        <f t="shared" si="49"/>
        <v>0</v>
      </c>
      <c r="AP87" s="36">
        <f t="shared" si="49"/>
        <v>0</v>
      </c>
      <c r="AQ87" s="36">
        <f t="shared" si="49"/>
        <v>0</v>
      </c>
      <c r="AR87" s="36">
        <f t="shared" si="49"/>
        <v>0</v>
      </c>
      <c r="AS87" s="36">
        <f t="shared" si="49"/>
        <v>0</v>
      </c>
      <c r="AT87" s="36">
        <f t="shared" si="50"/>
        <v>0</v>
      </c>
      <c r="AU87" s="36">
        <f t="shared" si="50"/>
        <v>0</v>
      </c>
      <c r="AV87" s="36">
        <f t="shared" si="50"/>
        <v>0</v>
      </c>
      <c r="AW87" s="36">
        <f t="shared" si="50"/>
        <v>0</v>
      </c>
      <c r="AX87" s="36">
        <f t="shared" si="50"/>
        <v>0</v>
      </c>
      <c r="AY87" s="36">
        <f t="shared" si="50"/>
        <v>0</v>
      </c>
      <c r="AZ87" s="36">
        <f t="shared" si="50"/>
        <v>0</v>
      </c>
      <c r="BA87" s="36">
        <f t="shared" si="50"/>
        <v>0</v>
      </c>
      <c r="BB87" s="36">
        <f t="shared" si="50"/>
        <v>0</v>
      </c>
      <c r="BC87" s="36">
        <f t="shared" si="50"/>
        <v>0</v>
      </c>
      <c r="BD87" s="36">
        <f t="shared" si="50"/>
        <v>0</v>
      </c>
      <c r="BE87" s="36">
        <f t="shared" si="50"/>
        <v>0</v>
      </c>
      <c r="BF87" s="36">
        <f t="shared" si="50"/>
        <v>0</v>
      </c>
      <c r="BG87" s="36">
        <f t="shared" si="50"/>
        <v>0</v>
      </c>
    </row>
    <row r="88" spans="1:59" ht="13" x14ac:dyDescent="0.3">
      <c r="A88" s="4" t="s">
        <v>369</v>
      </c>
      <c r="C88" s="10">
        <f>0</f>
        <v>0</v>
      </c>
      <c r="F88" s="38" t="str">
        <f t="shared" ref="F88:O93" si="51">IF(F$12=$C88,"X","")</f>
        <v/>
      </c>
      <c r="G88" s="38" t="str">
        <f t="shared" si="51"/>
        <v/>
      </c>
      <c r="H88" s="38" t="str">
        <f t="shared" si="51"/>
        <v/>
      </c>
      <c r="I88" s="38" t="str">
        <f t="shared" si="51"/>
        <v/>
      </c>
      <c r="J88" s="38" t="str">
        <f t="shared" si="51"/>
        <v/>
      </c>
      <c r="K88" s="38" t="str">
        <f t="shared" si="51"/>
        <v/>
      </c>
      <c r="L88" s="38" t="str">
        <f t="shared" si="51"/>
        <v>X</v>
      </c>
      <c r="M88" s="38" t="str">
        <f t="shared" si="51"/>
        <v/>
      </c>
      <c r="N88" s="38" t="str">
        <f t="shared" si="51"/>
        <v/>
      </c>
      <c r="O88" s="38" t="str">
        <f t="shared" si="51"/>
        <v/>
      </c>
      <c r="P88" s="38" t="str">
        <f t="shared" ref="P88:Y93" si="52">IF(P$12=$C88,"X","")</f>
        <v/>
      </c>
      <c r="Q88" s="38" t="str">
        <f t="shared" si="52"/>
        <v/>
      </c>
      <c r="R88" s="38" t="str">
        <f t="shared" si="52"/>
        <v/>
      </c>
      <c r="S88" s="38" t="str">
        <f t="shared" si="52"/>
        <v/>
      </c>
      <c r="T88" s="38" t="str">
        <f t="shared" si="52"/>
        <v/>
      </c>
      <c r="U88" s="38" t="str">
        <f t="shared" si="52"/>
        <v/>
      </c>
      <c r="V88" s="38" t="str">
        <f t="shared" si="52"/>
        <v/>
      </c>
      <c r="W88" s="38" t="str">
        <f t="shared" si="52"/>
        <v/>
      </c>
      <c r="X88" s="38" t="str">
        <f t="shared" si="52"/>
        <v/>
      </c>
      <c r="Y88" s="38" t="str">
        <f t="shared" si="52"/>
        <v/>
      </c>
      <c r="Z88" s="38" t="str">
        <f t="shared" ref="Z88:AI93" si="53">IF(Z$12=$C88,"X","")</f>
        <v/>
      </c>
      <c r="AA88" s="38" t="str">
        <f t="shared" si="53"/>
        <v/>
      </c>
      <c r="AB88" s="38" t="str">
        <f t="shared" si="53"/>
        <v/>
      </c>
      <c r="AC88" s="38" t="str">
        <f t="shared" si="53"/>
        <v/>
      </c>
      <c r="AD88" s="38" t="str">
        <f t="shared" si="53"/>
        <v/>
      </c>
      <c r="AE88" s="38" t="str">
        <f t="shared" si="53"/>
        <v/>
      </c>
      <c r="AF88" s="38" t="str">
        <f t="shared" si="53"/>
        <v/>
      </c>
      <c r="AG88" s="38" t="str">
        <f t="shared" si="53"/>
        <v/>
      </c>
      <c r="AH88" s="38" t="str">
        <f t="shared" si="53"/>
        <v/>
      </c>
      <c r="AI88" s="38" t="str">
        <f t="shared" si="53"/>
        <v/>
      </c>
      <c r="AJ88" s="38" t="str">
        <f t="shared" ref="AJ88:AS93" si="54">IF(AJ$12=$C88,"X","")</f>
        <v/>
      </c>
      <c r="AK88" s="38" t="str">
        <f t="shared" si="54"/>
        <v/>
      </c>
      <c r="AL88" s="38" t="str">
        <f t="shared" si="54"/>
        <v/>
      </c>
      <c r="AM88" s="38" t="str">
        <f t="shared" si="54"/>
        <v/>
      </c>
      <c r="AN88" s="38" t="str">
        <f t="shared" si="54"/>
        <v/>
      </c>
      <c r="AO88" s="38" t="str">
        <f t="shared" si="54"/>
        <v/>
      </c>
      <c r="AP88" s="38" t="str">
        <f t="shared" si="54"/>
        <v/>
      </c>
      <c r="AQ88" s="38" t="str">
        <f t="shared" si="54"/>
        <v/>
      </c>
      <c r="AR88" s="38" t="str">
        <f t="shared" si="54"/>
        <v/>
      </c>
      <c r="AS88" s="38" t="str">
        <f t="shared" si="54"/>
        <v/>
      </c>
      <c r="AT88" s="38" t="str">
        <f t="shared" ref="AT88:BG93" si="55">IF(AT$12=$C88,"X","")</f>
        <v/>
      </c>
      <c r="AU88" s="38" t="str">
        <f t="shared" si="55"/>
        <v/>
      </c>
      <c r="AV88" s="38" t="str">
        <f t="shared" si="55"/>
        <v/>
      </c>
      <c r="AW88" s="38" t="str">
        <f t="shared" si="55"/>
        <v/>
      </c>
      <c r="AX88" s="38" t="str">
        <f t="shared" si="55"/>
        <v/>
      </c>
      <c r="AY88" s="38" t="str">
        <f t="shared" si="55"/>
        <v/>
      </c>
      <c r="AZ88" s="38" t="str">
        <f t="shared" si="55"/>
        <v/>
      </c>
      <c r="BA88" s="38" t="str">
        <f t="shared" si="55"/>
        <v/>
      </c>
      <c r="BB88" s="38" t="str">
        <f t="shared" si="55"/>
        <v/>
      </c>
      <c r="BC88" s="38" t="str">
        <f t="shared" si="55"/>
        <v/>
      </c>
      <c r="BD88" s="38" t="str">
        <f t="shared" si="55"/>
        <v/>
      </c>
      <c r="BE88" s="38" t="str">
        <f t="shared" si="55"/>
        <v/>
      </c>
      <c r="BF88" s="38" t="str">
        <f t="shared" si="55"/>
        <v/>
      </c>
      <c r="BG88" s="38" t="str">
        <f t="shared" si="55"/>
        <v/>
      </c>
    </row>
    <row r="89" spans="1:59" ht="13" x14ac:dyDescent="0.3">
      <c r="A89" s="4" t="s">
        <v>438</v>
      </c>
      <c r="C89" s="10">
        <f>$B$7+1</f>
        <v>7</v>
      </c>
      <c r="F89" s="38" t="str">
        <f t="shared" si="51"/>
        <v/>
      </c>
      <c r="G89" s="38" t="str">
        <f t="shared" si="51"/>
        <v/>
      </c>
      <c r="H89" s="38" t="str">
        <f t="shared" si="51"/>
        <v/>
      </c>
      <c r="I89" s="38" t="str">
        <f t="shared" si="51"/>
        <v/>
      </c>
      <c r="J89" s="38" t="str">
        <f t="shared" si="51"/>
        <v/>
      </c>
      <c r="K89" s="38" t="str">
        <f t="shared" si="51"/>
        <v/>
      </c>
      <c r="L89" s="38" t="str">
        <f t="shared" si="51"/>
        <v/>
      </c>
      <c r="M89" s="38" t="str">
        <f t="shared" si="51"/>
        <v/>
      </c>
      <c r="N89" s="38" t="str">
        <f t="shared" si="51"/>
        <v/>
      </c>
      <c r="O89" s="38" t="str">
        <f t="shared" si="51"/>
        <v/>
      </c>
      <c r="P89" s="38" t="str">
        <f t="shared" si="52"/>
        <v/>
      </c>
      <c r="Q89" s="38" t="str">
        <f t="shared" si="52"/>
        <v/>
      </c>
      <c r="R89" s="38" t="str">
        <f t="shared" si="52"/>
        <v/>
      </c>
      <c r="S89" s="38" t="str">
        <f t="shared" si="52"/>
        <v>X</v>
      </c>
      <c r="T89" s="38" t="str">
        <f t="shared" si="52"/>
        <v/>
      </c>
      <c r="U89" s="38" t="str">
        <f t="shared" si="52"/>
        <v/>
      </c>
      <c r="V89" s="38" t="str">
        <f t="shared" si="52"/>
        <v/>
      </c>
      <c r="W89" s="38" t="str">
        <f t="shared" si="52"/>
        <v/>
      </c>
      <c r="X89" s="38" t="str">
        <f t="shared" si="52"/>
        <v/>
      </c>
      <c r="Y89" s="38" t="str">
        <f t="shared" si="52"/>
        <v/>
      </c>
      <c r="Z89" s="38" t="str">
        <f t="shared" si="53"/>
        <v/>
      </c>
      <c r="AA89" s="38" t="str">
        <f t="shared" si="53"/>
        <v/>
      </c>
      <c r="AB89" s="38" t="str">
        <f t="shared" si="53"/>
        <v/>
      </c>
      <c r="AC89" s="38" t="str">
        <f t="shared" si="53"/>
        <v/>
      </c>
      <c r="AD89" s="38" t="str">
        <f t="shared" si="53"/>
        <v/>
      </c>
      <c r="AE89" s="38" t="str">
        <f t="shared" si="53"/>
        <v/>
      </c>
      <c r="AF89" s="38" t="str">
        <f t="shared" si="53"/>
        <v/>
      </c>
      <c r="AG89" s="38" t="str">
        <f t="shared" si="53"/>
        <v/>
      </c>
      <c r="AH89" s="38" t="str">
        <f t="shared" si="53"/>
        <v/>
      </c>
      <c r="AI89" s="38" t="str">
        <f t="shared" si="53"/>
        <v/>
      </c>
      <c r="AJ89" s="38" t="str">
        <f t="shared" si="54"/>
        <v/>
      </c>
      <c r="AK89" s="38" t="str">
        <f t="shared" si="54"/>
        <v/>
      </c>
      <c r="AL89" s="38" t="str">
        <f t="shared" si="54"/>
        <v/>
      </c>
      <c r="AM89" s="38" t="str">
        <f t="shared" si="54"/>
        <v/>
      </c>
      <c r="AN89" s="38" t="str">
        <f t="shared" si="54"/>
        <v/>
      </c>
      <c r="AO89" s="38" t="str">
        <f t="shared" si="54"/>
        <v/>
      </c>
      <c r="AP89" s="38" t="str">
        <f t="shared" si="54"/>
        <v/>
      </c>
      <c r="AQ89" s="38" t="str">
        <f t="shared" si="54"/>
        <v/>
      </c>
      <c r="AR89" s="38" t="str">
        <f t="shared" si="54"/>
        <v/>
      </c>
      <c r="AS89" s="38" t="str">
        <f t="shared" si="54"/>
        <v/>
      </c>
      <c r="AT89" s="38" t="str">
        <f t="shared" si="55"/>
        <v/>
      </c>
      <c r="AU89" s="38" t="str">
        <f t="shared" si="55"/>
        <v/>
      </c>
      <c r="AV89" s="38" t="str">
        <f t="shared" si="55"/>
        <v/>
      </c>
      <c r="AW89" s="38" t="str">
        <f t="shared" si="55"/>
        <v/>
      </c>
      <c r="AX89" s="38" t="str">
        <f t="shared" si="55"/>
        <v/>
      </c>
      <c r="AY89" s="38" t="str">
        <f t="shared" si="55"/>
        <v/>
      </c>
      <c r="AZ89" s="38" t="str">
        <f t="shared" si="55"/>
        <v/>
      </c>
      <c r="BA89" s="38" t="str">
        <f t="shared" si="55"/>
        <v/>
      </c>
      <c r="BB89" s="38" t="str">
        <f t="shared" si="55"/>
        <v/>
      </c>
      <c r="BC89" s="38" t="str">
        <f t="shared" si="55"/>
        <v/>
      </c>
      <c r="BD89" s="38" t="str">
        <f t="shared" si="55"/>
        <v/>
      </c>
      <c r="BE89" s="38" t="str">
        <f t="shared" si="55"/>
        <v/>
      </c>
      <c r="BF89" s="38" t="str">
        <f t="shared" si="55"/>
        <v/>
      </c>
      <c r="BG89" s="38" t="str">
        <f t="shared" si="55"/>
        <v/>
      </c>
    </row>
    <row r="90" spans="1:59" ht="13" x14ac:dyDescent="0.3">
      <c r="A90" s="4" t="s">
        <v>439</v>
      </c>
      <c r="C90" s="10">
        <f>$B$10</f>
        <v>12</v>
      </c>
      <c r="F90" s="38" t="str">
        <f t="shared" si="51"/>
        <v/>
      </c>
      <c r="G90" s="38" t="str">
        <f t="shared" si="51"/>
        <v/>
      </c>
      <c r="H90" s="38" t="str">
        <f t="shared" si="51"/>
        <v/>
      </c>
      <c r="I90" s="38" t="str">
        <f t="shared" si="51"/>
        <v/>
      </c>
      <c r="J90" s="38" t="str">
        <f t="shared" si="51"/>
        <v/>
      </c>
      <c r="K90" s="38" t="str">
        <f t="shared" si="51"/>
        <v/>
      </c>
      <c r="L90" s="38" t="str">
        <f t="shared" si="51"/>
        <v/>
      </c>
      <c r="M90" s="38" t="str">
        <f t="shared" si="51"/>
        <v/>
      </c>
      <c r="N90" s="38" t="str">
        <f t="shared" si="51"/>
        <v/>
      </c>
      <c r="O90" s="38" t="str">
        <f t="shared" si="51"/>
        <v/>
      </c>
      <c r="P90" s="38" t="str">
        <f t="shared" si="52"/>
        <v/>
      </c>
      <c r="Q90" s="38" t="str">
        <f t="shared" si="52"/>
        <v/>
      </c>
      <c r="R90" s="38" t="str">
        <f t="shared" si="52"/>
        <v/>
      </c>
      <c r="S90" s="38" t="str">
        <f t="shared" si="52"/>
        <v/>
      </c>
      <c r="T90" s="38" t="str">
        <f t="shared" si="52"/>
        <v/>
      </c>
      <c r="U90" s="38" t="str">
        <f t="shared" si="52"/>
        <v/>
      </c>
      <c r="V90" s="38" t="str">
        <f t="shared" si="52"/>
        <v/>
      </c>
      <c r="W90" s="38" t="str">
        <f t="shared" si="52"/>
        <v/>
      </c>
      <c r="X90" s="38" t="str">
        <f t="shared" si="52"/>
        <v>X</v>
      </c>
      <c r="Y90" s="38" t="str">
        <f t="shared" si="52"/>
        <v/>
      </c>
      <c r="Z90" s="38" t="str">
        <f t="shared" si="53"/>
        <v/>
      </c>
      <c r="AA90" s="38" t="str">
        <f t="shared" si="53"/>
        <v/>
      </c>
      <c r="AB90" s="38" t="str">
        <f t="shared" si="53"/>
        <v/>
      </c>
      <c r="AC90" s="38" t="str">
        <f t="shared" si="53"/>
        <v/>
      </c>
      <c r="AD90" s="38" t="str">
        <f t="shared" si="53"/>
        <v/>
      </c>
      <c r="AE90" s="38" t="str">
        <f t="shared" si="53"/>
        <v/>
      </c>
      <c r="AF90" s="38" t="str">
        <f t="shared" si="53"/>
        <v/>
      </c>
      <c r="AG90" s="38" t="str">
        <f t="shared" si="53"/>
        <v/>
      </c>
      <c r="AH90" s="38" t="str">
        <f t="shared" si="53"/>
        <v/>
      </c>
      <c r="AI90" s="38" t="str">
        <f t="shared" si="53"/>
        <v/>
      </c>
      <c r="AJ90" s="38" t="str">
        <f t="shared" si="54"/>
        <v/>
      </c>
      <c r="AK90" s="38" t="str">
        <f t="shared" si="54"/>
        <v/>
      </c>
      <c r="AL90" s="38" t="str">
        <f t="shared" si="54"/>
        <v/>
      </c>
      <c r="AM90" s="38" t="str">
        <f t="shared" si="54"/>
        <v/>
      </c>
      <c r="AN90" s="38" t="str">
        <f t="shared" si="54"/>
        <v/>
      </c>
      <c r="AO90" s="38" t="str">
        <f t="shared" si="54"/>
        <v/>
      </c>
      <c r="AP90" s="38" t="str">
        <f t="shared" si="54"/>
        <v/>
      </c>
      <c r="AQ90" s="38" t="str">
        <f t="shared" si="54"/>
        <v/>
      </c>
      <c r="AR90" s="38" t="str">
        <f t="shared" si="54"/>
        <v/>
      </c>
      <c r="AS90" s="38" t="str">
        <f t="shared" si="54"/>
        <v/>
      </c>
      <c r="AT90" s="38" t="str">
        <f t="shared" si="55"/>
        <v/>
      </c>
      <c r="AU90" s="38" t="str">
        <f t="shared" si="55"/>
        <v/>
      </c>
      <c r="AV90" s="38" t="str">
        <f t="shared" si="55"/>
        <v/>
      </c>
      <c r="AW90" s="38" t="str">
        <f t="shared" si="55"/>
        <v/>
      </c>
      <c r="AX90" s="38" t="str">
        <f t="shared" si="55"/>
        <v/>
      </c>
      <c r="AY90" s="38" t="str">
        <f t="shared" si="55"/>
        <v/>
      </c>
      <c r="AZ90" s="38" t="str">
        <f t="shared" si="55"/>
        <v/>
      </c>
      <c r="BA90" s="38" t="str">
        <f t="shared" si="55"/>
        <v/>
      </c>
      <c r="BB90" s="38" t="str">
        <f t="shared" si="55"/>
        <v/>
      </c>
      <c r="BC90" s="38" t="str">
        <f t="shared" si="55"/>
        <v/>
      </c>
      <c r="BD90" s="38" t="str">
        <f t="shared" si="55"/>
        <v/>
      </c>
      <c r="BE90" s="38" t="str">
        <f t="shared" si="55"/>
        <v/>
      </c>
      <c r="BF90" s="38" t="str">
        <f t="shared" si="55"/>
        <v/>
      </c>
      <c r="BG90" s="38" t="str">
        <f t="shared" si="55"/>
        <v/>
      </c>
    </row>
    <row r="91" spans="1:59" ht="13" x14ac:dyDescent="0.3">
      <c r="A91" s="4" t="s">
        <v>440</v>
      </c>
      <c r="C91" s="10">
        <f>$B$7+$B$8</f>
        <v>26</v>
      </c>
      <c r="F91" s="38" t="str">
        <f t="shared" si="51"/>
        <v/>
      </c>
      <c r="G91" s="38" t="str">
        <f t="shared" si="51"/>
        <v/>
      </c>
      <c r="H91" s="38" t="str">
        <f t="shared" si="51"/>
        <v/>
      </c>
      <c r="I91" s="38" t="str">
        <f t="shared" si="51"/>
        <v/>
      </c>
      <c r="J91" s="38" t="str">
        <f t="shared" si="51"/>
        <v/>
      </c>
      <c r="K91" s="38" t="str">
        <f t="shared" si="51"/>
        <v/>
      </c>
      <c r="L91" s="38" t="str">
        <f t="shared" si="51"/>
        <v/>
      </c>
      <c r="M91" s="38" t="str">
        <f t="shared" si="51"/>
        <v/>
      </c>
      <c r="N91" s="38" t="str">
        <f t="shared" si="51"/>
        <v/>
      </c>
      <c r="O91" s="38" t="str">
        <f t="shared" si="51"/>
        <v/>
      </c>
      <c r="P91" s="38" t="str">
        <f t="shared" si="52"/>
        <v/>
      </c>
      <c r="Q91" s="38" t="str">
        <f t="shared" si="52"/>
        <v/>
      </c>
      <c r="R91" s="38" t="str">
        <f t="shared" si="52"/>
        <v/>
      </c>
      <c r="S91" s="38" t="str">
        <f t="shared" si="52"/>
        <v/>
      </c>
      <c r="T91" s="38" t="str">
        <f t="shared" si="52"/>
        <v/>
      </c>
      <c r="U91" s="38" t="str">
        <f t="shared" si="52"/>
        <v/>
      </c>
      <c r="V91" s="38" t="str">
        <f t="shared" si="52"/>
        <v/>
      </c>
      <c r="W91" s="38" t="str">
        <f t="shared" si="52"/>
        <v/>
      </c>
      <c r="X91" s="38" t="str">
        <f t="shared" si="52"/>
        <v/>
      </c>
      <c r="Y91" s="38" t="str">
        <f t="shared" si="52"/>
        <v/>
      </c>
      <c r="Z91" s="38" t="str">
        <f t="shared" si="53"/>
        <v/>
      </c>
      <c r="AA91" s="38" t="str">
        <f t="shared" si="53"/>
        <v/>
      </c>
      <c r="AB91" s="38" t="str">
        <f t="shared" si="53"/>
        <v/>
      </c>
      <c r="AC91" s="38" t="str">
        <f t="shared" si="53"/>
        <v/>
      </c>
      <c r="AD91" s="38" t="str">
        <f t="shared" si="53"/>
        <v/>
      </c>
      <c r="AE91" s="38" t="str">
        <f t="shared" si="53"/>
        <v/>
      </c>
      <c r="AF91" s="38" t="str">
        <f t="shared" si="53"/>
        <v/>
      </c>
      <c r="AG91" s="38" t="str">
        <f t="shared" si="53"/>
        <v/>
      </c>
      <c r="AH91" s="38" t="str">
        <f t="shared" si="53"/>
        <v/>
      </c>
      <c r="AI91" s="38" t="str">
        <f t="shared" si="53"/>
        <v/>
      </c>
      <c r="AJ91" s="38" t="str">
        <f t="shared" si="54"/>
        <v/>
      </c>
      <c r="AK91" s="38" t="str">
        <f t="shared" si="54"/>
        <v/>
      </c>
      <c r="AL91" s="38" t="str">
        <f t="shared" si="54"/>
        <v>X</v>
      </c>
      <c r="AM91" s="38" t="str">
        <f t="shared" si="54"/>
        <v/>
      </c>
      <c r="AN91" s="38" t="str">
        <f t="shared" si="54"/>
        <v/>
      </c>
      <c r="AO91" s="38" t="str">
        <f t="shared" si="54"/>
        <v/>
      </c>
      <c r="AP91" s="38" t="str">
        <f t="shared" si="54"/>
        <v/>
      </c>
      <c r="AQ91" s="38" t="str">
        <f t="shared" si="54"/>
        <v/>
      </c>
      <c r="AR91" s="38" t="str">
        <f t="shared" si="54"/>
        <v/>
      </c>
      <c r="AS91" s="38" t="str">
        <f t="shared" si="54"/>
        <v/>
      </c>
      <c r="AT91" s="38" t="str">
        <f t="shared" si="55"/>
        <v/>
      </c>
      <c r="AU91" s="38" t="str">
        <f t="shared" si="55"/>
        <v/>
      </c>
      <c r="AV91" s="38" t="str">
        <f t="shared" si="55"/>
        <v/>
      </c>
      <c r="AW91" s="38" t="str">
        <f t="shared" si="55"/>
        <v/>
      </c>
      <c r="AX91" s="38" t="str">
        <f t="shared" si="55"/>
        <v/>
      </c>
      <c r="AY91" s="38" t="str">
        <f t="shared" si="55"/>
        <v/>
      </c>
      <c r="AZ91" s="38" t="str">
        <f t="shared" si="55"/>
        <v/>
      </c>
      <c r="BA91" s="38" t="str">
        <f t="shared" si="55"/>
        <v/>
      </c>
      <c r="BB91" s="38" t="str">
        <f t="shared" si="55"/>
        <v/>
      </c>
      <c r="BC91" s="38" t="str">
        <f t="shared" si="55"/>
        <v/>
      </c>
      <c r="BD91" s="38" t="str">
        <f t="shared" si="55"/>
        <v/>
      </c>
      <c r="BE91" s="38" t="str">
        <f t="shared" si="55"/>
        <v/>
      </c>
      <c r="BF91" s="38" t="str">
        <f t="shared" si="55"/>
        <v/>
      </c>
      <c r="BG91" s="38" t="str">
        <f t="shared" si="55"/>
        <v/>
      </c>
    </row>
    <row r="92" spans="1:59" ht="13" x14ac:dyDescent="0.3">
      <c r="A92" s="4" t="s">
        <v>441</v>
      </c>
      <c r="C92" s="10">
        <f>$B$7+$B$8+Finance!$B$9</f>
        <v>27</v>
      </c>
      <c r="F92" s="38" t="str">
        <f t="shared" si="51"/>
        <v/>
      </c>
      <c r="G92" s="38" t="str">
        <f t="shared" si="51"/>
        <v/>
      </c>
      <c r="H92" s="38" t="str">
        <f t="shared" si="51"/>
        <v/>
      </c>
      <c r="I92" s="38" t="str">
        <f t="shared" si="51"/>
        <v/>
      </c>
      <c r="J92" s="38" t="str">
        <f t="shared" si="51"/>
        <v/>
      </c>
      <c r="K92" s="38" t="str">
        <f t="shared" si="51"/>
        <v/>
      </c>
      <c r="L92" s="38" t="str">
        <f t="shared" si="51"/>
        <v/>
      </c>
      <c r="M92" s="38" t="str">
        <f t="shared" si="51"/>
        <v/>
      </c>
      <c r="N92" s="38" t="str">
        <f t="shared" si="51"/>
        <v/>
      </c>
      <c r="O92" s="38" t="str">
        <f t="shared" si="51"/>
        <v/>
      </c>
      <c r="P92" s="38" t="str">
        <f t="shared" si="52"/>
        <v/>
      </c>
      <c r="Q92" s="38" t="str">
        <f t="shared" si="52"/>
        <v/>
      </c>
      <c r="R92" s="38" t="str">
        <f t="shared" si="52"/>
        <v/>
      </c>
      <c r="S92" s="38" t="str">
        <f t="shared" si="52"/>
        <v/>
      </c>
      <c r="T92" s="38" t="str">
        <f t="shared" si="52"/>
        <v/>
      </c>
      <c r="U92" s="38" t="str">
        <f t="shared" si="52"/>
        <v/>
      </c>
      <c r="V92" s="38" t="str">
        <f t="shared" si="52"/>
        <v/>
      </c>
      <c r="W92" s="38" t="str">
        <f t="shared" si="52"/>
        <v/>
      </c>
      <c r="X92" s="38" t="str">
        <f t="shared" si="52"/>
        <v/>
      </c>
      <c r="Y92" s="38" t="str">
        <f t="shared" si="52"/>
        <v/>
      </c>
      <c r="Z92" s="38" t="str">
        <f t="shared" si="53"/>
        <v/>
      </c>
      <c r="AA92" s="38" t="str">
        <f t="shared" si="53"/>
        <v/>
      </c>
      <c r="AB92" s="38" t="str">
        <f t="shared" si="53"/>
        <v/>
      </c>
      <c r="AC92" s="38" t="str">
        <f t="shared" si="53"/>
        <v/>
      </c>
      <c r="AD92" s="38" t="str">
        <f t="shared" si="53"/>
        <v/>
      </c>
      <c r="AE92" s="38" t="str">
        <f t="shared" si="53"/>
        <v/>
      </c>
      <c r="AF92" s="38" t="str">
        <f t="shared" si="53"/>
        <v/>
      </c>
      <c r="AG92" s="38" t="str">
        <f t="shared" si="53"/>
        <v/>
      </c>
      <c r="AH92" s="38" t="str">
        <f t="shared" si="53"/>
        <v/>
      </c>
      <c r="AI92" s="38" t="str">
        <f t="shared" si="53"/>
        <v/>
      </c>
      <c r="AJ92" s="38" t="str">
        <f t="shared" si="54"/>
        <v/>
      </c>
      <c r="AK92" s="38" t="str">
        <f t="shared" si="54"/>
        <v/>
      </c>
      <c r="AL92" s="38" t="str">
        <f t="shared" si="54"/>
        <v/>
      </c>
      <c r="AM92" s="38" t="str">
        <f t="shared" si="54"/>
        <v>X</v>
      </c>
      <c r="AN92" s="38" t="str">
        <f t="shared" si="54"/>
        <v/>
      </c>
      <c r="AO92" s="38" t="str">
        <f t="shared" si="54"/>
        <v/>
      </c>
      <c r="AP92" s="38" t="str">
        <f t="shared" si="54"/>
        <v/>
      </c>
      <c r="AQ92" s="38" t="str">
        <f t="shared" si="54"/>
        <v/>
      </c>
      <c r="AR92" s="38" t="str">
        <f t="shared" si="54"/>
        <v/>
      </c>
      <c r="AS92" s="38" t="str">
        <f t="shared" si="54"/>
        <v/>
      </c>
      <c r="AT92" s="38" t="str">
        <f t="shared" si="55"/>
        <v/>
      </c>
      <c r="AU92" s="38" t="str">
        <f t="shared" si="55"/>
        <v/>
      </c>
      <c r="AV92" s="38" t="str">
        <f t="shared" si="55"/>
        <v/>
      </c>
      <c r="AW92" s="38" t="str">
        <f t="shared" si="55"/>
        <v/>
      </c>
      <c r="AX92" s="38" t="str">
        <f t="shared" si="55"/>
        <v/>
      </c>
      <c r="AY92" s="38" t="str">
        <f t="shared" si="55"/>
        <v/>
      </c>
      <c r="AZ92" s="38" t="str">
        <f t="shared" si="55"/>
        <v/>
      </c>
      <c r="BA92" s="38" t="str">
        <f t="shared" si="55"/>
        <v/>
      </c>
      <c r="BB92" s="38" t="str">
        <f t="shared" si="55"/>
        <v/>
      </c>
      <c r="BC92" s="38" t="str">
        <f t="shared" si="55"/>
        <v/>
      </c>
      <c r="BD92" s="38" t="str">
        <f t="shared" si="55"/>
        <v/>
      </c>
      <c r="BE92" s="38" t="str">
        <f t="shared" si="55"/>
        <v/>
      </c>
      <c r="BF92" s="38" t="str">
        <f t="shared" si="55"/>
        <v/>
      </c>
      <c r="BG92" s="38" t="str">
        <f t="shared" si="55"/>
        <v/>
      </c>
    </row>
    <row r="93" spans="1:59" ht="13" x14ac:dyDescent="0.3">
      <c r="A93" s="4" t="s">
        <v>442</v>
      </c>
      <c r="C93" s="10">
        <f>$B$7+$B$8+$B$9</f>
        <v>32</v>
      </c>
      <c r="F93" s="38" t="str">
        <f t="shared" si="51"/>
        <v/>
      </c>
      <c r="G93" s="38" t="str">
        <f t="shared" si="51"/>
        <v/>
      </c>
      <c r="H93" s="38" t="str">
        <f t="shared" si="51"/>
        <v/>
      </c>
      <c r="I93" s="38" t="str">
        <f t="shared" si="51"/>
        <v/>
      </c>
      <c r="J93" s="38" t="str">
        <f t="shared" si="51"/>
        <v/>
      </c>
      <c r="K93" s="38" t="str">
        <f t="shared" si="51"/>
        <v/>
      </c>
      <c r="L93" s="38" t="str">
        <f t="shared" si="51"/>
        <v/>
      </c>
      <c r="M93" s="38" t="str">
        <f t="shared" si="51"/>
        <v/>
      </c>
      <c r="N93" s="38" t="str">
        <f t="shared" si="51"/>
        <v/>
      </c>
      <c r="O93" s="38" t="str">
        <f t="shared" si="51"/>
        <v/>
      </c>
      <c r="P93" s="38" t="str">
        <f t="shared" si="52"/>
        <v/>
      </c>
      <c r="Q93" s="38" t="str">
        <f t="shared" si="52"/>
        <v/>
      </c>
      <c r="R93" s="38" t="str">
        <f t="shared" si="52"/>
        <v/>
      </c>
      <c r="S93" s="38" t="str">
        <f t="shared" si="52"/>
        <v/>
      </c>
      <c r="T93" s="38" t="str">
        <f t="shared" si="52"/>
        <v/>
      </c>
      <c r="U93" s="38" t="str">
        <f t="shared" si="52"/>
        <v/>
      </c>
      <c r="V93" s="38" t="str">
        <f t="shared" si="52"/>
        <v/>
      </c>
      <c r="W93" s="38" t="str">
        <f t="shared" si="52"/>
        <v/>
      </c>
      <c r="X93" s="38" t="str">
        <f t="shared" si="52"/>
        <v/>
      </c>
      <c r="Y93" s="38" t="str">
        <f t="shared" si="52"/>
        <v/>
      </c>
      <c r="Z93" s="38" t="str">
        <f t="shared" si="53"/>
        <v/>
      </c>
      <c r="AA93" s="38" t="str">
        <f t="shared" si="53"/>
        <v/>
      </c>
      <c r="AB93" s="38" t="str">
        <f t="shared" si="53"/>
        <v/>
      </c>
      <c r="AC93" s="38" t="str">
        <f t="shared" si="53"/>
        <v/>
      </c>
      <c r="AD93" s="38" t="str">
        <f t="shared" si="53"/>
        <v/>
      </c>
      <c r="AE93" s="38" t="str">
        <f t="shared" si="53"/>
        <v/>
      </c>
      <c r="AF93" s="38" t="str">
        <f t="shared" si="53"/>
        <v/>
      </c>
      <c r="AG93" s="38" t="str">
        <f t="shared" si="53"/>
        <v/>
      </c>
      <c r="AH93" s="38" t="str">
        <f t="shared" si="53"/>
        <v/>
      </c>
      <c r="AI93" s="38" t="str">
        <f t="shared" si="53"/>
        <v/>
      </c>
      <c r="AJ93" s="38" t="str">
        <f t="shared" si="54"/>
        <v/>
      </c>
      <c r="AK93" s="38" t="str">
        <f t="shared" si="54"/>
        <v/>
      </c>
      <c r="AL93" s="38" t="str">
        <f t="shared" si="54"/>
        <v/>
      </c>
      <c r="AM93" s="38" t="str">
        <f t="shared" si="54"/>
        <v/>
      </c>
      <c r="AN93" s="38" t="str">
        <f t="shared" si="54"/>
        <v/>
      </c>
      <c r="AO93" s="38" t="str">
        <f t="shared" si="54"/>
        <v/>
      </c>
      <c r="AP93" s="38" t="str">
        <f t="shared" si="54"/>
        <v/>
      </c>
      <c r="AQ93" s="38" t="str">
        <f t="shared" si="54"/>
        <v/>
      </c>
      <c r="AR93" s="38" t="str">
        <f t="shared" si="54"/>
        <v>X</v>
      </c>
      <c r="AS93" s="38" t="str">
        <f t="shared" si="54"/>
        <v/>
      </c>
      <c r="AT93" s="38" t="str">
        <f t="shared" si="55"/>
        <v/>
      </c>
      <c r="AU93" s="38" t="str">
        <f t="shared" si="55"/>
        <v/>
      </c>
      <c r="AV93" s="38" t="str">
        <f t="shared" si="55"/>
        <v/>
      </c>
      <c r="AW93" s="38" t="str">
        <f t="shared" si="55"/>
        <v/>
      </c>
      <c r="AX93" s="38" t="str">
        <f t="shared" si="55"/>
        <v/>
      </c>
      <c r="AY93" s="38" t="str">
        <f t="shared" si="55"/>
        <v/>
      </c>
      <c r="AZ93" s="38" t="str">
        <f t="shared" si="55"/>
        <v/>
      </c>
      <c r="BA93" s="38" t="str">
        <f t="shared" si="55"/>
        <v/>
      </c>
      <c r="BB93" s="38" t="str">
        <f t="shared" si="55"/>
        <v/>
      </c>
      <c r="BC93" s="38" t="str">
        <f t="shared" si="55"/>
        <v/>
      </c>
      <c r="BD93" s="38" t="str">
        <f t="shared" si="55"/>
        <v/>
      </c>
      <c r="BE93" s="38" t="str">
        <f t="shared" si="55"/>
        <v/>
      </c>
      <c r="BF93" s="38" t="str">
        <f t="shared" si="55"/>
        <v/>
      </c>
      <c r="BG93" s="38" t="str">
        <f t="shared" si="55"/>
        <v/>
      </c>
    </row>
    <row r="94" spans="1:59" ht="13" x14ac:dyDescent="0.3">
      <c r="A94" s="4" t="s">
        <v>443</v>
      </c>
      <c r="F94" s="38" t="str">
        <f>IF(SUMPRODUCT(--('Rev &amp; Unit-by-Unit'!$O$18:$O$26+$B$7+$B$8=F$12))=0,"",SUMPRODUCT(--('Rev &amp; Unit-by-Unit'!$O$18:$O$26+$B$7+$B$8=F$12)))</f>
        <v/>
      </c>
      <c r="G94" s="38" t="str">
        <f>IF(SUMPRODUCT(--('Rev &amp; Unit-by-Unit'!$O$18:$O$26+$B$7+$B$8=G$12))=0,"",SUMPRODUCT(--('Rev &amp; Unit-by-Unit'!$O$18:$O$26+$B$7+$B$8=G$12)))</f>
        <v/>
      </c>
      <c r="H94" s="38" t="str">
        <f>IF(SUMPRODUCT(--('Rev &amp; Unit-by-Unit'!$O$18:$O$26+$B$7+$B$8=H$12))=0,"",SUMPRODUCT(--('Rev &amp; Unit-by-Unit'!$O$18:$O$26+$B$7+$B$8=H$12)))</f>
        <v/>
      </c>
      <c r="I94" s="38" t="str">
        <f>IF(SUMPRODUCT(--('Rev &amp; Unit-by-Unit'!$O$18:$O$26+$B$7+$B$8=I$12))=0,"",SUMPRODUCT(--('Rev &amp; Unit-by-Unit'!$O$18:$O$26+$B$7+$B$8=I$12)))</f>
        <v/>
      </c>
      <c r="J94" s="38" t="str">
        <f>IF(SUMPRODUCT(--('Rev &amp; Unit-by-Unit'!$O$18:$O$26+$B$7+$B$8=J$12))=0,"",SUMPRODUCT(--('Rev &amp; Unit-by-Unit'!$O$18:$O$26+$B$7+$B$8=J$12)))</f>
        <v/>
      </c>
      <c r="K94" s="38" t="str">
        <f>IF(SUMPRODUCT(--('Rev &amp; Unit-by-Unit'!$O$18:$O$26+$B$7+$B$8=K$12))=0,"",SUMPRODUCT(--('Rev &amp; Unit-by-Unit'!$O$18:$O$26+$B$7+$B$8=K$12)))</f>
        <v/>
      </c>
      <c r="L94" s="38" t="str">
        <f>IF(SUMPRODUCT(--('Rev &amp; Unit-by-Unit'!$O$18:$O$26+$B$7+$B$8=L$12))=0,"",SUMPRODUCT(--('Rev &amp; Unit-by-Unit'!$O$18:$O$26+$B$7+$B$8=L$12)))</f>
        <v/>
      </c>
      <c r="M94" s="38" t="str">
        <f>IF(SUMPRODUCT(--('Rev &amp; Unit-by-Unit'!$O$18:$O$26+$B$7+$B$8=M$12))=0,"",SUMPRODUCT(--('Rev &amp; Unit-by-Unit'!$O$18:$O$26+$B$7+$B$8=M$12)))</f>
        <v/>
      </c>
      <c r="N94" s="38" t="str">
        <f>IF(SUMPRODUCT(--('Rev &amp; Unit-by-Unit'!$O$18:$O$26+$B$7+$B$8=N$12))=0,"",SUMPRODUCT(--('Rev &amp; Unit-by-Unit'!$O$18:$O$26+$B$7+$B$8=N$12)))</f>
        <v/>
      </c>
      <c r="O94" s="38" t="str">
        <f>IF(SUMPRODUCT(--('Rev &amp; Unit-by-Unit'!$O$18:$O$26+$B$7+$B$8=O$12))=0,"",SUMPRODUCT(--('Rev &amp; Unit-by-Unit'!$O$18:$O$26+$B$7+$B$8=O$12)))</f>
        <v/>
      </c>
      <c r="P94" s="38" t="str">
        <f>IF(SUMPRODUCT(--('Rev &amp; Unit-by-Unit'!$O$18:$O$26+$B$7+$B$8=P$12))=0,"",SUMPRODUCT(--('Rev &amp; Unit-by-Unit'!$O$18:$O$26+$B$7+$B$8=P$12)))</f>
        <v/>
      </c>
      <c r="Q94" s="38" t="str">
        <f>IF(SUMPRODUCT(--('Rev &amp; Unit-by-Unit'!$O$18:$O$26+$B$7+$B$8=Q$12))=0,"",SUMPRODUCT(--('Rev &amp; Unit-by-Unit'!$O$18:$O$26+$B$7+$B$8=Q$12)))</f>
        <v/>
      </c>
      <c r="R94" s="38" t="str">
        <f>IF(SUMPRODUCT(--('Rev &amp; Unit-by-Unit'!$O$18:$O$26+$B$7+$B$8=R$12))=0,"",SUMPRODUCT(--('Rev &amp; Unit-by-Unit'!$O$18:$O$26+$B$7+$B$8=R$12)))</f>
        <v/>
      </c>
      <c r="S94" s="38" t="str">
        <f>IF(SUMPRODUCT(--('Rev &amp; Unit-by-Unit'!$O$18:$O$26+$B$7+$B$8=S$12))=0,"",SUMPRODUCT(--('Rev &amp; Unit-by-Unit'!$O$18:$O$26+$B$7+$B$8=S$12)))</f>
        <v/>
      </c>
      <c r="T94" s="38" t="str">
        <f>IF(SUMPRODUCT(--('Rev &amp; Unit-by-Unit'!$O$18:$O$26+$B$7+$B$8=T$12))=0,"",SUMPRODUCT(--('Rev &amp; Unit-by-Unit'!$O$18:$O$26+$B$7+$B$8=T$12)))</f>
        <v/>
      </c>
      <c r="U94" s="38" t="str">
        <f>IF(SUMPRODUCT(--('Rev &amp; Unit-by-Unit'!$O$18:$O$26+$B$7+$B$8=U$12))=0,"",SUMPRODUCT(--('Rev &amp; Unit-by-Unit'!$O$18:$O$26+$B$7+$B$8=U$12)))</f>
        <v/>
      </c>
      <c r="V94" s="38" t="str">
        <f>IF(SUMPRODUCT(--('Rev &amp; Unit-by-Unit'!$O$18:$O$26+$B$7+$B$8=V$12))=0,"",SUMPRODUCT(--('Rev &amp; Unit-by-Unit'!$O$18:$O$26+$B$7+$B$8=V$12)))</f>
        <v/>
      </c>
      <c r="W94" s="38" t="str">
        <f>IF(SUMPRODUCT(--('Rev &amp; Unit-by-Unit'!$O$18:$O$26+$B$7+$B$8=W$12))=0,"",SUMPRODUCT(--('Rev &amp; Unit-by-Unit'!$O$18:$O$26+$B$7+$B$8=W$12)))</f>
        <v/>
      </c>
      <c r="X94" s="38" t="str">
        <f>IF(SUMPRODUCT(--('Rev &amp; Unit-by-Unit'!$O$18:$O$26+$B$7+$B$8=X$12))=0,"",SUMPRODUCT(--('Rev &amp; Unit-by-Unit'!$O$18:$O$26+$B$7+$B$8=X$12)))</f>
        <v/>
      </c>
      <c r="Y94" s="38" t="str">
        <f>IF(SUMPRODUCT(--('Rev &amp; Unit-by-Unit'!$O$18:$O$26+$B$7+$B$8=Y$12))=0,"",SUMPRODUCT(--('Rev &amp; Unit-by-Unit'!$O$18:$O$26+$B$7+$B$8=Y$12)))</f>
        <v/>
      </c>
      <c r="Z94" s="38" t="str">
        <f>IF(SUMPRODUCT(--('Rev &amp; Unit-by-Unit'!$O$18:$O$26+$B$7+$B$8=Z$12))=0,"",SUMPRODUCT(--('Rev &amp; Unit-by-Unit'!$O$18:$O$26+$B$7+$B$8=Z$12)))</f>
        <v/>
      </c>
      <c r="AA94" s="38" t="str">
        <f>IF(SUMPRODUCT(--('Rev &amp; Unit-by-Unit'!$O$18:$O$26+$B$7+$B$8=AA$12))=0,"",SUMPRODUCT(--('Rev &amp; Unit-by-Unit'!$O$18:$O$26+$B$7+$B$8=AA$12)))</f>
        <v/>
      </c>
      <c r="AB94" s="38" t="str">
        <f>IF(SUMPRODUCT(--('Rev &amp; Unit-by-Unit'!$O$18:$O$26+$B$7+$B$8=AB$12))=0,"",SUMPRODUCT(--('Rev &amp; Unit-by-Unit'!$O$18:$O$26+$B$7+$B$8=AB$12)))</f>
        <v/>
      </c>
      <c r="AC94" s="38" t="str">
        <f>IF(SUMPRODUCT(--('Rev &amp; Unit-by-Unit'!$O$18:$O$26+$B$7+$B$8=AC$12))=0,"",SUMPRODUCT(--('Rev &amp; Unit-by-Unit'!$O$18:$O$26+$B$7+$B$8=AC$12)))</f>
        <v/>
      </c>
      <c r="AD94" s="38" t="str">
        <f>IF(SUMPRODUCT(--('Rev &amp; Unit-by-Unit'!$O$18:$O$26+$B$7+$B$8=AD$12))=0,"",SUMPRODUCT(--('Rev &amp; Unit-by-Unit'!$O$18:$O$26+$B$7+$B$8=AD$12)))</f>
        <v/>
      </c>
      <c r="AE94" s="38" t="str">
        <f>IF(SUMPRODUCT(--('Rev &amp; Unit-by-Unit'!$O$18:$O$26+$B$7+$B$8=AE$12))=0,"",SUMPRODUCT(--('Rev &amp; Unit-by-Unit'!$O$18:$O$26+$B$7+$B$8=AE$12)))</f>
        <v/>
      </c>
      <c r="AF94" s="38" t="str">
        <f>IF(SUMPRODUCT(--('Rev &amp; Unit-by-Unit'!$O$18:$O$26+$B$7+$B$8=AF$12))=0,"",SUMPRODUCT(--('Rev &amp; Unit-by-Unit'!$O$18:$O$26+$B$7+$B$8=AF$12)))</f>
        <v/>
      </c>
      <c r="AG94" s="38" t="str">
        <f>IF(SUMPRODUCT(--('Rev &amp; Unit-by-Unit'!$O$18:$O$26+$B$7+$B$8=AG$12))=0,"",SUMPRODUCT(--('Rev &amp; Unit-by-Unit'!$O$18:$O$26+$B$7+$B$8=AG$12)))</f>
        <v/>
      </c>
      <c r="AH94" s="38" t="str">
        <f>IF(SUMPRODUCT(--('Rev &amp; Unit-by-Unit'!$O$18:$O$26+$B$7+$B$8=AH$12))=0,"",SUMPRODUCT(--('Rev &amp; Unit-by-Unit'!$O$18:$O$26+$B$7+$B$8=AH$12)))</f>
        <v/>
      </c>
      <c r="AI94" s="38" t="str">
        <f>IF(SUMPRODUCT(--('Rev &amp; Unit-by-Unit'!$O$18:$O$26+$B$7+$B$8=AI$12))=0,"",SUMPRODUCT(--('Rev &amp; Unit-by-Unit'!$O$18:$O$26+$B$7+$B$8=AI$12)))</f>
        <v/>
      </c>
      <c r="AJ94" s="38" t="str">
        <f>IF(SUMPRODUCT(--('Rev &amp; Unit-by-Unit'!$O$18:$O$26+$B$7+$B$8=AJ$12))=0,"",SUMPRODUCT(--('Rev &amp; Unit-by-Unit'!$O$18:$O$26+$B$7+$B$8=AJ$12)))</f>
        <v/>
      </c>
      <c r="AK94" s="38" t="str">
        <f>IF(SUMPRODUCT(--('Rev &amp; Unit-by-Unit'!$O$18:$O$26+$B$7+$B$8=AK$12))=0,"",SUMPRODUCT(--('Rev &amp; Unit-by-Unit'!$O$18:$O$26+$B$7+$B$8=AK$12)))</f>
        <v/>
      </c>
      <c r="AL94" s="38" t="str">
        <f>IF(SUMPRODUCT(--('Rev &amp; Unit-by-Unit'!$O$18:$O$26+$B$7+$B$8=AL$12))=0,"",SUMPRODUCT(--('Rev &amp; Unit-by-Unit'!$O$18:$O$26+$B$7+$B$8=AL$12)))</f>
        <v/>
      </c>
      <c r="AM94" s="38">
        <f>IF(SUMPRODUCT(--('Rev &amp; Unit-by-Unit'!$O$18:$O$26+$B$7+$B$8=AM$12))=0,"",SUMPRODUCT(--('Rev &amp; Unit-by-Unit'!$O$18:$O$26+$B$7+$B$8=AM$12)))</f>
        <v>9</v>
      </c>
      <c r="AN94" s="38" t="str">
        <f>IF(SUMPRODUCT(--('Rev &amp; Unit-by-Unit'!$O$18:$O$26+$B$7+$B$8=AN$12))=0,"",SUMPRODUCT(--('Rev &amp; Unit-by-Unit'!$O$18:$O$26+$B$7+$B$8=AN$12)))</f>
        <v/>
      </c>
      <c r="AO94" s="38" t="str">
        <f>IF(SUMPRODUCT(--('Rev &amp; Unit-by-Unit'!$O$18:$O$26+$B$7+$B$8=AO$12))=0,"",SUMPRODUCT(--('Rev &amp; Unit-by-Unit'!$O$18:$O$26+$B$7+$B$8=AO$12)))</f>
        <v/>
      </c>
      <c r="AP94" s="38" t="str">
        <f>IF(SUMPRODUCT(--('Rev &amp; Unit-by-Unit'!$O$18:$O$26+$B$7+$B$8=AP$12))=0,"",SUMPRODUCT(--('Rev &amp; Unit-by-Unit'!$O$18:$O$26+$B$7+$B$8=AP$12)))</f>
        <v/>
      </c>
      <c r="AQ94" s="38" t="str">
        <f>IF(SUMPRODUCT(--('Rev &amp; Unit-by-Unit'!$O$18:$O$26+$B$7+$B$8=AQ$12))=0,"",SUMPRODUCT(--('Rev &amp; Unit-by-Unit'!$O$18:$O$26+$B$7+$B$8=AQ$12)))</f>
        <v/>
      </c>
      <c r="AR94" s="38" t="str">
        <f>IF(SUMPRODUCT(--('Rev &amp; Unit-by-Unit'!$O$18:$O$26+$B$7+$B$8=AR$12))=0,"",SUMPRODUCT(--('Rev &amp; Unit-by-Unit'!$O$18:$O$26+$B$7+$B$8=AR$12)))</f>
        <v/>
      </c>
      <c r="AS94" s="38" t="str">
        <f>IF(SUMPRODUCT(--('Rev &amp; Unit-by-Unit'!$O$18:$O$26+$B$7+$B$8=AS$12))=0,"",SUMPRODUCT(--('Rev &amp; Unit-by-Unit'!$O$18:$O$26+$B$7+$B$8=AS$12)))</f>
        <v/>
      </c>
      <c r="AT94" s="38" t="str">
        <f>IF(SUMPRODUCT(--('Rev &amp; Unit-by-Unit'!$O$18:$O$26+$B$7+$B$8=AT$12))=0,"",SUMPRODUCT(--('Rev &amp; Unit-by-Unit'!$O$18:$O$26+$B$7+$B$8=AT$12)))</f>
        <v/>
      </c>
      <c r="AU94" s="38" t="str">
        <f>IF(SUMPRODUCT(--('Rev &amp; Unit-by-Unit'!$O$18:$O$26+$B$7+$B$8=AU$12))=0,"",SUMPRODUCT(--('Rev &amp; Unit-by-Unit'!$O$18:$O$26+$B$7+$B$8=AU$12)))</f>
        <v/>
      </c>
      <c r="AV94" s="38" t="str">
        <f>IF(SUMPRODUCT(--('Rev &amp; Unit-by-Unit'!$O$18:$O$26+$B$7+$B$8=AV$12))=0,"",SUMPRODUCT(--('Rev &amp; Unit-by-Unit'!$O$18:$O$26+$B$7+$B$8=AV$12)))</f>
        <v/>
      </c>
      <c r="AW94" s="38" t="str">
        <f>IF(SUMPRODUCT(--('Rev &amp; Unit-by-Unit'!$O$18:$O$26+$B$7+$B$8=AW$12))=0,"",SUMPRODUCT(--('Rev &amp; Unit-by-Unit'!$O$18:$O$26+$B$7+$B$8=AW$12)))</f>
        <v/>
      </c>
      <c r="AX94" s="38" t="str">
        <f>IF(SUMPRODUCT(--('Rev &amp; Unit-by-Unit'!$O$18:$O$26+$B$7+$B$8=AX$12))=0,"",SUMPRODUCT(--('Rev &amp; Unit-by-Unit'!$O$18:$O$26+$B$7+$B$8=AX$12)))</f>
        <v/>
      </c>
      <c r="AY94" s="38" t="str">
        <f>IF(SUMPRODUCT(--('Rev &amp; Unit-by-Unit'!$O$18:$O$26+$B$7+$B$8=AY$12))=0,"",SUMPRODUCT(--('Rev &amp; Unit-by-Unit'!$O$18:$O$26+$B$7+$B$8=AY$12)))</f>
        <v/>
      </c>
      <c r="AZ94" s="38" t="str">
        <f>IF(SUMPRODUCT(--('Rev &amp; Unit-by-Unit'!$O$18:$O$26+$B$7+$B$8=AZ$12))=0,"",SUMPRODUCT(--('Rev &amp; Unit-by-Unit'!$O$18:$O$26+$B$7+$B$8=AZ$12)))</f>
        <v/>
      </c>
      <c r="BA94" s="38" t="str">
        <f>IF(SUMPRODUCT(--('Rev &amp; Unit-by-Unit'!$O$18:$O$26+$B$7+$B$8=BA$12))=0,"",SUMPRODUCT(--('Rev &amp; Unit-by-Unit'!$O$18:$O$26+$B$7+$B$8=BA$12)))</f>
        <v/>
      </c>
      <c r="BB94" s="38" t="str">
        <f>IF(SUMPRODUCT(--('Rev &amp; Unit-by-Unit'!$O$18:$O$26+$B$7+$B$8=BB$12))=0,"",SUMPRODUCT(--('Rev &amp; Unit-by-Unit'!$O$18:$O$26+$B$7+$B$8=BB$12)))</f>
        <v/>
      </c>
      <c r="BC94" s="38" t="str">
        <f>IF(SUMPRODUCT(--('Rev &amp; Unit-by-Unit'!$O$18:$O$26+$B$7+$B$8=BC$12))=0,"",SUMPRODUCT(--('Rev &amp; Unit-by-Unit'!$O$18:$O$26+$B$7+$B$8=BC$12)))</f>
        <v/>
      </c>
      <c r="BD94" s="38" t="str">
        <f>IF(SUMPRODUCT(--('Rev &amp; Unit-by-Unit'!$O$18:$O$26+$B$7+$B$8=BD$12))=0,"",SUMPRODUCT(--('Rev &amp; Unit-by-Unit'!$O$18:$O$26+$B$7+$B$8=BD$12)))</f>
        <v/>
      </c>
      <c r="BE94" s="38" t="str">
        <f>IF(SUMPRODUCT(--('Rev &amp; Unit-by-Unit'!$O$18:$O$26+$B$7+$B$8=BE$12))=0,"",SUMPRODUCT(--('Rev &amp; Unit-by-Unit'!$O$18:$O$26+$B$7+$B$8=BE$12)))</f>
        <v/>
      </c>
      <c r="BF94" s="38" t="str">
        <f>IF(SUMPRODUCT(--('Rev &amp; Unit-by-Unit'!$O$18:$O$26+$B$7+$B$8=BF$12))=0,"",SUMPRODUCT(--('Rev &amp; Unit-by-Unit'!$O$18:$O$26+$B$7+$B$8=BF$12)))</f>
        <v/>
      </c>
      <c r="BG94" s="38" t="str">
        <f>IF(SUMPRODUCT(--('Rev &amp; Unit-by-Unit'!$O$18:$O$26+$B$7+$B$8=BG$12))=0,"",SUMPRODUCT(--('Rev &amp; Unit-by-Unit'!$O$18:$O$26+$B$7+$B$8=BG$12)))</f>
        <v/>
      </c>
    </row>
    <row r="96" spans="1:59" ht="13" x14ac:dyDescent="0.3">
      <c r="A96" s="4" t="s">
        <v>444</v>
      </c>
      <c r="B96" s="5" t="str">
        <f>IF('Rev &amp; Unit-by-Unit'!$O$27&lt;=$B$9,"OK","A unit closes after the sell-out period: extend it on Finance")</f>
        <v>OK</v>
      </c>
    </row>
  </sheetData>
  <conditionalFormatting sqref="F17:BG26">
    <cfRule type="expression" dxfId="3" priority="1">
      <formula>F17&gt;0</formula>
    </cfRule>
  </conditionalFormatting>
  <conditionalFormatting sqref="F29:BG76">
    <cfRule type="expression" dxfId="2" priority="2">
      <formula>F29&gt;0</formula>
    </cfRule>
  </conditionalFormatting>
  <conditionalFormatting sqref="F86:BG87">
    <cfRule type="expression" dxfId="1" priority="3">
      <formula>F86&gt;0</formula>
    </cfRule>
  </conditionalFormatting>
  <conditionalFormatting sqref="F88:BG94">
    <cfRule type="expression" dxfId="0" priority="4">
      <formula>LEN(F88)&gt;0</formula>
    </cfRule>
  </conditionalFormatting>
  <pageMargins left="0.5" right="0.5" top="0.6" bottom="0.6" header="0.3" footer="0.3"/>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pageSetUpPr fitToPage="1"/>
  </sheetPr>
  <dimension ref="A1:J132"/>
  <sheetViews>
    <sheetView showGridLines="0" workbookViewId="0">
      <pane ySplit="3" topLeftCell="A4" activePane="bottomLeft" state="frozen"/>
      <selection pane="bottomLeft"/>
    </sheetView>
  </sheetViews>
  <sheetFormatPr defaultRowHeight="12.5" outlineLevelRow="1" x14ac:dyDescent="0.25"/>
  <cols>
    <col min="1" max="1" width="22" customWidth="1"/>
    <col min="2" max="2" width="46" customWidth="1"/>
    <col min="3" max="3" width="12" customWidth="1"/>
    <col min="4" max="4" width="16" customWidth="1"/>
    <col min="5" max="5" width="12" customWidth="1"/>
    <col min="6" max="6" width="14" customWidth="1"/>
    <col min="7" max="7" width="15" customWidth="1"/>
    <col min="8" max="8" width="12" customWidth="1"/>
    <col min="9" max="9" width="10" customWidth="1"/>
    <col min="10" max="10" width="62" customWidth="1"/>
  </cols>
  <sheetData>
    <row r="1" spans="1:10" ht="18" x14ac:dyDescent="0.4">
      <c r="A1" s="1" t="s">
        <v>445</v>
      </c>
    </row>
    <row r="2" spans="1:10" ht="13" x14ac:dyDescent="0.3">
      <c r="A2" s="2" t="s">
        <v>235</v>
      </c>
    </row>
    <row r="3" spans="1:10" ht="13" x14ac:dyDescent="0.3">
      <c r="A3" s="2" t="s">
        <v>446</v>
      </c>
    </row>
    <row r="5" spans="1:10" ht="13" x14ac:dyDescent="0.3">
      <c r="A5" s="18" t="s">
        <v>447</v>
      </c>
    </row>
    <row r="6" spans="1:10" outlineLevel="1" x14ac:dyDescent="0.25">
      <c r="B6" s="4" t="s">
        <v>13</v>
      </c>
      <c r="C6" s="10">
        <f>$C$15</f>
        <v>14518</v>
      </c>
      <c r="D6" s="4" t="s">
        <v>448</v>
      </c>
      <c r="J6" s="19" t="s">
        <v>449</v>
      </c>
    </row>
    <row r="7" spans="1:10" outlineLevel="1" x14ac:dyDescent="0.25">
      <c r="B7" s="4" t="s">
        <v>450</v>
      </c>
      <c r="C7" s="6">
        <v>3060</v>
      </c>
      <c r="D7" s="4" t="s">
        <v>104</v>
      </c>
      <c r="J7" s="19" t="s">
        <v>451</v>
      </c>
    </row>
    <row r="8" spans="1:10" outlineLevel="1" x14ac:dyDescent="0.25">
      <c r="B8" s="4" t="s">
        <v>452</v>
      </c>
      <c r="C8" s="6">
        <v>12</v>
      </c>
      <c r="D8" s="4" t="s">
        <v>453</v>
      </c>
      <c r="J8" s="19" t="s">
        <v>454</v>
      </c>
    </row>
    <row r="9" spans="1:10" ht="24" outlineLevel="1" x14ac:dyDescent="0.25">
      <c r="B9" s="4" t="s">
        <v>455</v>
      </c>
      <c r="C9" s="6">
        <v>1717</v>
      </c>
      <c r="D9" s="4" t="s">
        <v>104</v>
      </c>
      <c r="J9" s="19" t="s">
        <v>456</v>
      </c>
    </row>
    <row r="10" spans="1:10" outlineLevel="1" x14ac:dyDescent="0.25">
      <c r="B10" s="4" t="s">
        <v>457</v>
      </c>
      <c r="C10" s="10">
        <f>D34</f>
        <v>6879</v>
      </c>
      <c r="D10" s="4" t="s">
        <v>104</v>
      </c>
      <c r="J10" s="19" t="s">
        <v>458</v>
      </c>
    </row>
    <row r="11" spans="1:10" ht="24" outlineLevel="1" x14ac:dyDescent="0.25">
      <c r="B11" s="4" t="s">
        <v>459</v>
      </c>
      <c r="C11" s="6">
        <v>2855</v>
      </c>
      <c r="D11" s="4" t="s">
        <v>104</v>
      </c>
      <c r="J11" s="19" t="s">
        <v>460</v>
      </c>
    </row>
    <row r="12" spans="1:10" outlineLevel="1" x14ac:dyDescent="0.25">
      <c r="B12" s="4" t="s">
        <v>4</v>
      </c>
      <c r="C12" s="10">
        <f>C34</f>
        <v>9</v>
      </c>
      <c r="D12" s="4" t="s">
        <v>197</v>
      </c>
      <c r="J12" s="19" t="s">
        <v>461</v>
      </c>
    </row>
    <row r="13" spans="1:10" ht="24" outlineLevel="1" x14ac:dyDescent="0.25">
      <c r="B13" s="4" t="s">
        <v>462</v>
      </c>
      <c r="C13" s="6">
        <v>1810</v>
      </c>
      <c r="D13" s="4" t="s">
        <v>463</v>
      </c>
      <c r="J13" s="19" t="s">
        <v>464</v>
      </c>
    </row>
    <row r="14" spans="1:10" ht="24" outlineLevel="1" x14ac:dyDescent="0.25">
      <c r="B14" s="4" t="s">
        <v>465</v>
      </c>
      <c r="C14" s="6">
        <v>330</v>
      </c>
      <c r="D14" s="4" t="s">
        <v>463</v>
      </c>
      <c r="J14" s="19" t="s">
        <v>466</v>
      </c>
    </row>
    <row r="15" spans="1:10" ht="36" outlineLevel="1" x14ac:dyDescent="0.25">
      <c r="B15" s="4" t="s">
        <v>467</v>
      </c>
      <c r="C15" s="6">
        <v>14518</v>
      </c>
      <c r="D15" s="4" t="s">
        <v>448</v>
      </c>
      <c r="J15" s="19" t="s">
        <v>468</v>
      </c>
    </row>
    <row r="16" spans="1:10" ht="24" outlineLevel="1" x14ac:dyDescent="0.25">
      <c r="B16" s="4" t="s">
        <v>469</v>
      </c>
      <c r="C16" s="6">
        <v>5500</v>
      </c>
      <c r="D16" s="4" t="s">
        <v>104</v>
      </c>
      <c r="J16" s="19" t="s">
        <v>470</v>
      </c>
    </row>
    <row r="17" spans="1:10" ht="24" outlineLevel="1" x14ac:dyDescent="0.25">
      <c r="B17" s="4" t="s">
        <v>166</v>
      </c>
      <c r="C17" s="6">
        <v>1857</v>
      </c>
      <c r="D17" s="4" t="s">
        <v>104</v>
      </c>
      <c r="J17" s="19" t="s">
        <v>471</v>
      </c>
    </row>
    <row r="18" spans="1:10" ht="24" outlineLevel="1" x14ac:dyDescent="0.25">
      <c r="B18" s="4" t="s">
        <v>472</v>
      </c>
      <c r="C18" s="6">
        <v>8</v>
      </c>
      <c r="D18" s="4" t="s">
        <v>473</v>
      </c>
      <c r="J18" s="19" t="s">
        <v>474</v>
      </c>
    </row>
    <row r="19" spans="1:10" outlineLevel="1" x14ac:dyDescent="0.25">
      <c r="B19" s="4" t="s">
        <v>475</v>
      </c>
      <c r="C19" s="6">
        <v>78</v>
      </c>
      <c r="D19" s="4" t="s">
        <v>104</v>
      </c>
      <c r="J19" s="19" t="s">
        <v>476</v>
      </c>
    </row>
    <row r="20" spans="1:10" ht="24" outlineLevel="1" x14ac:dyDescent="0.25">
      <c r="B20" s="4" t="s">
        <v>477</v>
      </c>
      <c r="C20" s="8">
        <v>0.4</v>
      </c>
      <c r="D20" s="4" t="s">
        <v>478</v>
      </c>
      <c r="J20" s="19" t="s">
        <v>479</v>
      </c>
    </row>
    <row r="21" spans="1:10" ht="24" outlineLevel="1" x14ac:dyDescent="0.25">
      <c r="B21" s="4" t="s">
        <v>480</v>
      </c>
      <c r="C21" s="32">
        <v>0</v>
      </c>
      <c r="D21" s="4" t="s">
        <v>478</v>
      </c>
      <c r="J21" s="19" t="s">
        <v>481</v>
      </c>
    </row>
    <row r="22" spans="1:10" outlineLevel="1" x14ac:dyDescent="0.25">
      <c r="B22" s="4" t="s">
        <v>482</v>
      </c>
      <c r="C22" s="43">
        <v>2616</v>
      </c>
      <c r="D22" s="4" t="s">
        <v>104</v>
      </c>
      <c r="J22" s="19" t="s">
        <v>483</v>
      </c>
    </row>
    <row r="23" spans="1:10" ht="24" outlineLevel="1" x14ac:dyDescent="0.25">
      <c r="B23" s="4" t="s">
        <v>484</v>
      </c>
      <c r="C23" s="44">
        <v>450</v>
      </c>
      <c r="D23" s="4" t="s">
        <v>485</v>
      </c>
      <c r="J23" s="19" t="s">
        <v>486</v>
      </c>
    </row>
    <row r="24" spans="1:10" ht="24" outlineLevel="1" x14ac:dyDescent="0.25">
      <c r="B24" s="4" t="s">
        <v>487</v>
      </c>
      <c r="C24" s="45">
        <f>$C$6</f>
        <v>14518</v>
      </c>
      <c r="D24" s="4" t="s">
        <v>448</v>
      </c>
      <c r="J24" s="19" t="s">
        <v>488</v>
      </c>
    </row>
    <row r="25" spans="1:10" ht="24" outlineLevel="1" x14ac:dyDescent="0.25">
      <c r="B25" s="4" t="s">
        <v>489</v>
      </c>
      <c r="C25" s="46">
        <v>1</v>
      </c>
      <c r="D25" s="4"/>
      <c r="J25" s="19" t="s">
        <v>490</v>
      </c>
    </row>
    <row r="27" spans="1:10" ht="13" x14ac:dyDescent="0.3">
      <c r="A27" s="18" t="s">
        <v>491</v>
      </c>
    </row>
    <row r="28" spans="1:10" ht="30" customHeight="1" outlineLevel="1" x14ac:dyDescent="0.25">
      <c r="B28" s="3" t="s">
        <v>492</v>
      </c>
      <c r="C28" s="3" t="s">
        <v>493</v>
      </c>
      <c r="D28" s="3" t="s">
        <v>494</v>
      </c>
      <c r="E28" s="3" t="s">
        <v>495</v>
      </c>
      <c r="F28" s="3" t="s">
        <v>496</v>
      </c>
      <c r="G28" s="3" t="s">
        <v>497</v>
      </c>
      <c r="J28" s="3" t="s">
        <v>24</v>
      </c>
    </row>
    <row r="29" spans="1:10" outlineLevel="1" x14ac:dyDescent="0.25">
      <c r="B29" s="4" t="s">
        <v>498</v>
      </c>
      <c r="C29" s="6">
        <v>1</v>
      </c>
      <c r="D29" s="6">
        <v>858</v>
      </c>
      <c r="E29" s="6">
        <v>50</v>
      </c>
      <c r="F29" s="6">
        <v>5</v>
      </c>
      <c r="G29" s="22">
        <v>1</v>
      </c>
      <c r="J29" s="19" t="s">
        <v>499</v>
      </c>
    </row>
    <row r="30" spans="1:10" outlineLevel="1" x14ac:dyDescent="0.25">
      <c r="B30" s="4" t="s">
        <v>500</v>
      </c>
      <c r="C30" s="6">
        <v>4</v>
      </c>
      <c r="D30" s="6">
        <v>718.75</v>
      </c>
      <c r="E30" s="6">
        <v>50</v>
      </c>
      <c r="F30" s="6">
        <v>5</v>
      </c>
      <c r="G30" s="22">
        <v>1</v>
      </c>
      <c r="J30" s="19" t="s">
        <v>501</v>
      </c>
    </row>
    <row r="31" spans="1:10" outlineLevel="1" x14ac:dyDescent="0.25">
      <c r="B31" s="4" t="s">
        <v>502</v>
      </c>
      <c r="C31" s="6">
        <v>2</v>
      </c>
      <c r="D31" s="6">
        <v>858</v>
      </c>
      <c r="E31" s="6">
        <v>70</v>
      </c>
      <c r="F31" s="6">
        <v>6</v>
      </c>
      <c r="G31" s="22">
        <v>2</v>
      </c>
      <c r="J31" s="19" t="s">
        <v>503</v>
      </c>
    </row>
    <row r="32" spans="1:10" outlineLevel="1" x14ac:dyDescent="0.25">
      <c r="B32" s="4" t="s">
        <v>504</v>
      </c>
      <c r="C32" s="6">
        <v>1</v>
      </c>
      <c r="D32" s="6">
        <v>567</v>
      </c>
      <c r="E32" s="6">
        <v>25</v>
      </c>
      <c r="F32" s="6">
        <v>3</v>
      </c>
      <c r="G32" s="22">
        <v>1</v>
      </c>
      <c r="J32" s="19" t="s">
        <v>505</v>
      </c>
    </row>
    <row r="33" spans="1:10" ht="24" outlineLevel="1" x14ac:dyDescent="0.25">
      <c r="B33" s="4" t="s">
        <v>506</v>
      </c>
      <c r="C33" s="6">
        <v>1</v>
      </c>
      <c r="D33" s="6">
        <v>863</v>
      </c>
      <c r="E33" s="6">
        <v>80</v>
      </c>
      <c r="F33" s="6">
        <v>7</v>
      </c>
      <c r="G33" s="22">
        <v>2</v>
      </c>
      <c r="J33" s="19" t="s">
        <v>507</v>
      </c>
    </row>
    <row r="34" spans="1:10" ht="24" outlineLevel="1" x14ac:dyDescent="0.3">
      <c r="B34" s="12" t="s">
        <v>149</v>
      </c>
      <c r="C34" s="10">
        <f>SUM(C29:C33)</f>
        <v>9</v>
      </c>
      <c r="D34" s="10">
        <f>SUMPRODUCT($C$29:$C$33,D29:D33)</f>
        <v>6879</v>
      </c>
      <c r="E34" s="10">
        <f>SUMPRODUCT($C$29:$C$33,E29:E33)</f>
        <v>495</v>
      </c>
      <c r="F34" s="10">
        <f>SUMPRODUCT($C$29:$C$33,F29:F33)</f>
        <v>47</v>
      </c>
      <c r="G34" s="23">
        <f>SUMPRODUCT($C$29:$C$33,G29:G33)</f>
        <v>12</v>
      </c>
      <c r="H34" s="10">
        <v>0</v>
      </c>
      <c r="J34" s="19" t="s">
        <v>508</v>
      </c>
    </row>
    <row r="36" spans="1:10" ht="13" x14ac:dyDescent="0.3">
      <c r="A36" s="18" t="s">
        <v>509</v>
      </c>
    </row>
    <row r="37" spans="1:10" outlineLevel="1" x14ac:dyDescent="0.25">
      <c r="B37" s="4" t="s">
        <v>510</v>
      </c>
      <c r="C37" s="6">
        <v>3100</v>
      </c>
      <c r="D37" s="4" t="s">
        <v>104</v>
      </c>
      <c r="J37" s="19" t="s">
        <v>511</v>
      </c>
    </row>
    <row r="38" spans="1:10" ht="25" outlineLevel="1" x14ac:dyDescent="0.25">
      <c r="B38" s="4" t="s">
        <v>512</v>
      </c>
      <c r="C38" s="47">
        <v>4.8</v>
      </c>
      <c r="D38" s="4" t="s">
        <v>513</v>
      </c>
      <c r="J38" s="19" t="s">
        <v>514</v>
      </c>
    </row>
    <row r="39" spans="1:10" outlineLevel="1" x14ac:dyDescent="0.25">
      <c r="B39" s="4" t="s">
        <v>515</v>
      </c>
      <c r="C39" s="10">
        <f>C37*C38</f>
        <v>14880</v>
      </c>
      <c r="D39" s="4" t="s">
        <v>104</v>
      </c>
      <c r="J39" s="19"/>
    </row>
    <row r="40" spans="1:10" outlineLevel="1" x14ac:dyDescent="0.25">
      <c r="B40" s="4" t="s">
        <v>516</v>
      </c>
      <c r="C40" s="47">
        <v>2.2000000000000002</v>
      </c>
      <c r="D40" s="4" t="s">
        <v>513</v>
      </c>
      <c r="J40" s="19" t="s">
        <v>517</v>
      </c>
    </row>
    <row r="41" spans="1:10" outlineLevel="1" x14ac:dyDescent="0.25">
      <c r="B41" s="4" t="s">
        <v>518</v>
      </c>
      <c r="C41" s="10">
        <f>C37*C40</f>
        <v>6820.0000000000009</v>
      </c>
      <c r="D41" s="4" t="s">
        <v>104</v>
      </c>
      <c r="J41" s="19"/>
    </row>
    <row r="42" spans="1:10" ht="24" outlineLevel="1" x14ac:dyDescent="0.25">
      <c r="B42" s="4" t="s">
        <v>519</v>
      </c>
      <c r="C42" s="6">
        <v>627</v>
      </c>
      <c r="D42" s="4" t="s">
        <v>104</v>
      </c>
      <c r="J42" s="19" t="s">
        <v>520</v>
      </c>
    </row>
    <row r="43" spans="1:10" outlineLevel="1" x14ac:dyDescent="0.25">
      <c r="B43" s="4" t="s">
        <v>521</v>
      </c>
      <c r="C43" s="6">
        <v>6819</v>
      </c>
      <c r="D43" s="4" t="s">
        <v>104</v>
      </c>
      <c r="J43" s="19" t="s">
        <v>522</v>
      </c>
    </row>
    <row r="44" spans="1:10" ht="24" outlineLevel="1" x14ac:dyDescent="0.25">
      <c r="B44" s="4" t="s">
        <v>523</v>
      </c>
      <c r="C44" s="6">
        <v>858</v>
      </c>
      <c r="D44" s="4" t="s">
        <v>104</v>
      </c>
      <c r="J44" s="19" t="s">
        <v>524</v>
      </c>
    </row>
    <row r="45" spans="1:10" outlineLevel="1" x14ac:dyDescent="0.25">
      <c r="B45" s="4" t="s">
        <v>525</v>
      </c>
      <c r="C45" s="6">
        <v>4234</v>
      </c>
      <c r="D45" s="4" t="s">
        <v>104</v>
      </c>
      <c r="J45" s="19" t="s">
        <v>526</v>
      </c>
    </row>
    <row r="46" spans="1:10" outlineLevel="1" x14ac:dyDescent="0.25">
      <c r="B46" s="4" t="s">
        <v>527</v>
      </c>
      <c r="C46" s="10">
        <f>C37*2</f>
        <v>6200</v>
      </c>
      <c r="D46" s="4" t="s">
        <v>104</v>
      </c>
      <c r="J46" s="19"/>
    </row>
    <row r="47" spans="1:10" outlineLevel="1" x14ac:dyDescent="0.25">
      <c r="B47" s="4" t="s">
        <v>528</v>
      </c>
      <c r="C47" s="10">
        <f>C43+C44+C45</f>
        <v>11911</v>
      </c>
      <c r="D47" s="4" t="s">
        <v>104</v>
      </c>
      <c r="J47" s="19" t="s">
        <v>529</v>
      </c>
    </row>
    <row r="48" spans="1:10" ht="24" outlineLevel="1" x14ac:dyDescent="0.25">
      <c r="B48" s="4" t="s">
        <v>530</v>
      </c>
      <c r="C48" s="10">
        <f>C39-C47</f>
        <v>2969</v>
      </c>
      <c r="D48" s="4" t="s">
        <v>104</v>
      </c>
      <c r="J48" s="19" t="s">
        <v>531</v>
      </c>
    </row>
    <row r="49" spans="1:10" outlineLevel="1" x14ac:dyDescent="0.25">
      <c r="B49" s="4" t="s">
        <v>532</v>
      </c>
      <c r="C49" s="10" t="str">
        <f>IF(C48&gt;=0,"PASS","OVER THE LIMIT")</f>
        <v>PASS</v>
      </c>
      <c r="D49" s="4"/>
      <c r="J49" s="19"/>
    </row>
    <row r="50" spans="1:10" outlineLevel="1" x14ac:dyDescent="0.25">
      <c r="B50" s="4" t="s">
        <v>533</v>
      </c>
      <c r="C50" s="10" t="str">
        <f>IF(C43&lt;=C41+0.5,"PASS","OVER THE LIMIT")</f>
        <v>PASS</v>
      </c>
      <c r="D50" s="4"/>
      <c r="J50" s="19" t="s">
        <v>534</v>
      </c>
    </row>
    <row r="51" spans="1:10" outlineLevel="1" x14ac:dyDescent="0.25">
      <c r="B51" s="4" t="s">
        <v>535</v>
      </c>
      <c r="C51" s="10" t="str">
        <f>IF(C45&lt;=C46,"PASS","OVER THE LIMIT")</f>
        <v>PASS</v>
      </c>
      <c r="D51" s="4"/>
      <c r="J51" s="19"/>
    </row>
    <row r="52" spans="1:10" outlineLevel="1" x14ac:dyDescent="0.25">
      <c r="B52" s="4" t="s">
        <v>536</v>
      </c>
      <c r="C52" s="47">
        <v>84.92</v>
      </c>
      <c r="D52" s="4" t="s">
        <v>453</v>
      </c>
      <c r="J52" s="19" t="s">
        <v>537</v>
      </c>
    </row>
    <row r="53" spans="1:10" ht="24" outlineLevel="1" x14ac:dyDescent="0.25">
      <c r="B53" s="4" t="s">
        <v>538</v>
      </c>
      <c r="C53" s="47">
        <v>85</v>
      </c>
      <c r="D53" s="4" t="s">
        <v>453</v>
      </c>
      <c r="J53" s="19" t="s">
        <v>539</v>
      </c>
    </row>
    <row r="54" spans="1:10" outlineLevel="1" x14ac:dyDescent="0.25">
      <c r="B54" s="4" t="s">
        <v>540</v>
      </c>
      <c r="C54" s="10" t="str">
        <f>IF(C52&lt;=C53,"PASS","TOO TALL")</f>
        <v>PASS</v>
      </c>
      <c r="D54" s="4"/>
      <c r="J54" s="19"/>
    </row>
    <row r="55" spans="1:10" x14ac:dyDescent="0.25">
      <c r="B55" s="4"/>
      <c r="C55" s="10"/>
      <c r="D55" s="4"/>
      <c r="J55" s="19"/>
    </row>
    <row r="56" spans="1:10" x14ac:dyDescent="0.25">
      <c r="B56" s="4"/>
      <c r="C56" s="10"/>
      <c r="D56" s="4"/>
      <c r="J56" s="19"/>
    </row>
    <row r="57" spans="1:10" x14ac:dyDescent="0.25">
      <c r="B57" s="4"/>
      <c r="C57" s="6"/>
      <c r="D57" s="4"/>
      <c r="J57" s="19"/>
    </row>
    <row r="58" spans="1:10" ht="13" x14ac:dyDescent="0.3">
      <c r="B58" s="4"/>
      <c r="C58" s="5"/>
      <c r="D58" s="4"/>
    </row>
    <row r="61" spans="1:10" ht="20" customHeight="1" x14ac:dyDescent="0.25">
      <c r="A61" s="3" t="s">
        <v>541</v>
      </c>
      <c r="B61" s="3" t="s">
        <v>180</v>
      </c>
      <c r="C61" s="3" t="s">
        <v>542</v>
      </c>
      <c r="D61" s="3" t="s">
        <v>112</v>
      </c>
      <c r="E61" s="3" t="s">
        <v>183</v>
      </c>
      <c r="F61" s="3" t="s">
        <v>184</v>
      </c>
      <c r="G61" s="3" t="s">
        <v>185</v>
      </c>
      <c r="H61" s="3" t="s">
        <v>485</v>
      </c>
      <c r="I61" s="3" t="s">
        <v>543</v>
      </c>
      <c r="J61" s="3" t="s">
        <v>24</v>
      </c>
    </row>
    <row r="62" spans="1:10" x14ac:dyDescent="0.25">
      <c r="A62" s="4" t="s">
        <v>379</v>
      </c>
      <c r="B62" s="4" t="s">
        <v>380</v>
      </c>
      <c r="C62" s="10">
        <f>$C$7*$C$8/27</f>
        <v>1360</v>
      </c>
      <c r="D62" s="4" t="s">
        <v>544</v>
      </c>
      <c r="E62" s="7">
        <v>45</v>
      </c>
      <c r="F62" s="4" t="s">
        <v>545</v>
      </c>
      <c r="G62" s="9">
        <f t="shared" ref="G62:G70" si="0">C62*E62</f>
        <v>61200</v>
      </c>
      <c r="H62" s="9">
        <f t="shared" ref="H62:H71" si="1">G62/$C$6</f>
        <v>4.2154566744730682</v>
      </c>
      <c r="I62" s="11">
        <f t="shared" ref="I62:I71" si="2">G62/$G$121</f>
        <v>9.3676814988290398E-3</v>
      </c>
      <c r="J62" s="19" t="s">
        <v>546</v>
      </c>
    </row>
    <row r="63" spans="1:10" x14ac:dyDescent="0.25">
      <c r="A63" s="4" t="s">
        <v>379</v>
      </c>
      <c r="B63" s="4" t="s">
        <v>381</v>
      </c>
      <c r="C63" s="6">
        <v>1</v>
      </c>
      <c r="D63" s="4" t="s">
        <v>200</v>
      </c>
      <c r="E63" s="7">
        <v>70000</v>
      </c>
      <c r="F63" s="4" t="s">
        <v>201</v>
      </c>
      <c r="G63" s="9">
        <f t="shared" si="0"/>
        <v>70000</v>
      </c>
      <c r="H63" s="9">
        <f t="shared" si="1"/>
        <v>4.8216007714561231</v>
      </c>
      <c r="I63" s="11">
        <f t="shared" si="2"/>
        <v>1.0714668381013608E-2</v>
      </c>
      <c r="J63" s="19" t="s">
        <v>547</v>
      </c>
    </row>
    <row r="64" spans="1:10" ht="24" x14ac:dyDescent="0.25">
      <c r="A64" s="4" t="s">
        <v>379</v>
      </c>
      <c r="B64" s="4" t="s">
        <v>382</v>
      </c>
      <c r="C64" s="6">
        <v>195</v>
      </c>
      <c r="D64" s="4" t="s">
        <v>463</v>
      </c>
      <c r="E64" s="7">
        <v>1200</v>
      </c>
      <c r="F64" s="4" t="s">
        <v>548</v>
      </c>
      <c r="G64" s="9">
        <f t="shared" si="0"/>
        <v>234000</v>
      </c>
      <c r="H64" s="9">
        <f t="shared" si="1"/>
        <v>16.117922578867613</v>
      </c>
      <c r="I64" s="11">
        <f t="shared" si="2"/>
        <v>3.5817605730816916E-2</v>
      </c>
      <c r="J64" s="19" t="s">
        <v>549</v>
      </c>
    </row>
    <row r="65" spans="1:10" x14ac:dyDescent="0.25">
      <c r="A65" s="4" t="s">
        <v>379</v>
      </c>
      <c r="B65" s="4" t="s">
        <v>383</v>
      </c>
      <c r="C65" s="6">
        <v>299</v>
      </c>
      <c r="D65" s="4" t="s">
        <v>463</v>
      </c>
      <c r="E65" s="7">
        <v>340</v>
      </c>
      <c r="F65" s="4" t="s">
        <v>548</v>
      </c>
      <c r="G65" s="9">
        <f t="shared" si="0"/>
        <v>101660</v>
      </c>
      <c r="H65" s="9">
        <f t="shared" si="1"/>
        <v>7.0023419203747075</v>
      </c>
      <c r="I65" s="11">
        <f t="shared" si="2"/>
        <v>1.5560759823054906E-2</v>
      </c>
      <c r="J65" s="19" t="s">
        <v>550</v>
      </c>
    </row>
    <row r="66" spans="1:10" x14ac:dyDescent="0.25">
      <c r="A66" s="4" t="s">
        <v>379</v>
      </c>
      <c r="B66" s="4" t="s">
        <v>384</v>
      </c>
      <c r="C66" s="10">
        <f>$C$7</f>
        <v>3060</v>
      </c>
      <c r="D66" s="4" t="s">
        <v>104</v>
      </c>
      <c r="E66" s="7">
        <v>18</v>
      </c>
      <c r="F66" s="4" t="s">
        <v>96</v>
      </c>
      <c r="G66" s="9">
        <f t="shared" si="0"/>
        <v>55080</v>
      </c>
      <c r="H66" s="9">
        <f t="shared" si="1"/>
        <v>3.7939110070257613</v>
      </c>
      <c r="I66" s="11">
        <f t="shared" si="2"/>
        <v>8.4309133489461358E-3</v>
      </c>
      <c r="J66" s="19"/>
    </row>
    <row r="67" spans="1:10" ht="24" x14ac:dyDescent="0.25">
      <c r="A67" s="4" t="s">
        <v>379</v>
      </c>
      <c r="B67" s="4" t="s">
        <v>385</v>
      </c>
      <c r="C67" s="6">
        <v>0</v>
      </c>
      <c r="D67" s="4" t="s">
        <v>104</v>
      </c>
      <c r="E67" s="7">
        <v>30</v>
      </c>
      <c r="F67" s="4" t="s">
        <v>96</v>
      </c>
      <c r="G67" s="9">
        <f t="shared" si="0"/>
        <v>0</v>
      </c>
      <c r="H67" s="9">
        <f t="shared" si="1"/>
        <v>0</v>
      </c>
      <c r="I67" s="11">
        <f t="shared" si="2"/>
        <v>0</v>
      </c>
      <c r="J67" s="19" t="s">
        <v>551</v>
      </c>
    </row>
    <row r="68" spans="1:10" ht="24" x14ac:dyDescent="0.25">
      <c r="A68" s="4" t="s">
        <v>379</v>
      </c>
      <c r="B68" s="4" t="s">
        <v>386</v>
      </c>
      <c r="C68" s="10">
        <f>$C$13*$C$52/(10*$C$18+5)</f>
        <v>1808.2964705882355</v>
      </c>
      <c r="D68" s="4" t="s">
        <v>552</v>
      </c>
      <c r="E68" s="7">
        <v>100</v>
      </c>
      <c r="F68" s="4" t="s">
        <v>548</v>
      </c>
      <c r="G68" s="9">
        <f t="shared" si="0"/>
        <v>180829.64705882355</v>
      </c>
      <c r="H68" s="9">
        <f t="shared" si="1"/>
        <v>12.45554808229946</v>
      </c>
      <c r="I68" s="11">
        <f t="shared" si="2"/>
        <v>2.7678995738443242E-2</v>
      </c>
      <c r="J68" s="19" t="s">
        <v>553</v>
      </c>
    </row>
    <row r="69" spans="1:10" x14ac:dyDescent="0.25">
      <c r="A69" s="4" t="s">
        <v>379</v>
      </c>
      <c r="B69" s="4" t="s">
        <v>387</v>
      </c>
      <c r="C69" s="10">
        <f>$C$6</f>
        <v>14518</v>
      </c>
      <c r="D69" s="4" t="s">
        <v>104</v>
      </c>
      <c r="E69" s="7">
        <v>30</v>
      </c>
      <c r="F69" s="4" t="s">
        <v>96</v>
      </c>
      <c r="G69" s="9">
        <f t="shared" si="0"/>
        <v>435540</v>
      </c>
      <c r="H69" s="9">
        <f t="shared" si="1"/>
        <v>30</v>
      </c>
      <c r="I69" s="11">
        <f t="shared" si="2"/>
        <v>6.6666666666666666E-2</v>
      </c>
      <c r="J69" s="19" t="s">
        <v>554</v>
      </c>
    </row>
    <row r="70" spans="1:10" ht="24" x14ac:dyDescent="0.25">
      <c r="A70" s="4" t="s">
        <v>379</v>
      </c>
      <c r="B70" s="4" t="s">
        <v>388</v>
      </c>
      <c r="C70" s="6">
        <v>0</v>
      </c>
      <c r="D70" s="4" t="s">
        <v>448</v>
      </c>
      <c r="E70" s="7">
        <v>70</v>
      </c>
      <c r="F70" s="4" t="s">
        <v>485</v>
      </c>
      <c r="G70" s="9">
        <f t="shared" si="0"/>
        <v>0</v>
      </c>
      <c r="H70" s="9">
        <f t="shared" si="1"/>
        <v>0</v>
      </c>
      <c r="I70" s="11">
        <f t="shared" si="2"/>
        <v>0</v>
      </c>
      <c r="J70" s="19" t="s">
        <v>555</v>
      </c>
    </row>
    <row r="71" spans="1:10" ht="13" x14ac:dyDescent="0.3">
      <c r="A71" s="12" t="s">
        <v>556</v>
      </c>
      <c r="B71" s="14"/>
      <c r="C71" s="14"/>
      <c r="D71" s="14"/>
      <c r="E71" s="14"/>
      <c r="F71" s="14"/>
      <c r="G71" s="13">
        <f>SUM(G62:G70)</f>
        <v>1138309.6470588236</v>
      </c>
      <c r="H71" s="13">
        <f t="shared" si="1"/>
        <v>78.406781034496731</v>
      </c>
      <c r="I71" s="20">
        <f t="shared" si="2"/>
        <v>0.17423729118777054</v>
      </c>
      <c r="J71" s="14"/>
    </row>
    <row r="73" spans="1:10" x14ac:dyDescent="0.25">
      <c r="A73" s="4" t="s">
        <v>389</v>
      </c>
      <c r="B73" s="4" t="s">
        <v>390</v>
      </c>
      <c r="C73" s="10">
        <f>$C$16*$C$20</f>
        <v>2200</v>
      </c>
      <c r="D73" s="4" t="s">
        <v>557</v>
      </c>
      <c r="E73" s="7">
        <v>80</v>
      </c>
      <c r="F73" s="4" t="s">
        <v>96</v>
      </c>
      <c r="G73" s="9">
        <f t="shared" ref="G73:G78" si="3">C73*E73</f>
        <v>176000</v>
      </c>
      <c r="H73" s="9">
        <f t="shared" ref="H73:H79" si="4">G73/$C$6</f>
        <v>12.122881939661111</v>
      </c>
      <c r="I73" s="11">
        <f t="shared" ref="I73:I79" si="5">G73/$G$121</f>
        <v>2.6939737643691355E-2</v>
      </c>
      <c r="J73" s="19" t="s">
        <v>558</v>
      </c>
    </row>
    <row r="74" spans="1:10" x14ac:dyDescent="0.25">
      <c r="A74" s="4" t="s">
        <v>389</v>
      </c>
      <c r="B74" s="4" t="s">
        <v>391</v>
      </c>
      <c r="C74" s="10">
        <f>$C$16*(1-$C$20)</f>
        <v>3300</v>
      </c>
      <c r="D74" s="4" t="s">
        <v>559</v>
      </c>
      <c r="E74" s="7">
        <v>45</v>
      </c>
      <c r="F74" s="4" t="s">
        <v>96</v>
      </c>
      <c r="G74" s="9">
        <f t="shared" si="3"/>
        <v>148500</v>
      </c>
      <c r="H74" s="9">
        <f t="shared" si="4"/>
        <v>10.228681636589062</v>
      </c>
      <c r="I74" s="11">
        <f t="shared" si="5"/>
        <v>2.2730403636864582E-2</v>
      </c>
      <c r="J74" s="19" t="s">
        <v>560</v>
      </c>
    </row>
    <row r="75" spans="1:10" ht="24" x14ac:dyDescent="0.25">
      <c r="A75" s="4" t="s">
        <v>389</v>
      </c>
      <c r="B75" s="4" t="s">
        <v>392</v>
      </c>
      <c r="C75" s="6">
        <v>10670</v>
      </c>
      <c r="D75" s="4" t="s">
        <v>559</v>
      </c>
      <c r="E75" s="7">
        <v>42</v>
      </c>
      <c r="F75" s="4" t="s">
        <v>96</v>
      </c>
      <c r="G75" s="9">
        <f t="shared" si="3"/>
        <v>448140</v>
      </c>
      <c r="H75" s="9">
        <f t="shared" si="4"/>
        <v>30.867888138862103</v>
      </c>
      <c r="I75" s="11">
        <f t="shared" si="5"/>
        <v>6.8595306975249112E-2</v>
      </c>
      <c r="J75" s="19" t="s">
        <v>561</v>
      </c>
    </row>
    <row r="76" spans="1:10" x14ac:dyDescent="0.25">
      <c r="A76" s="4" t="s">
        <v>389</v>
      </c>
      <c r="B76" s="4" t="s">
        <v>393</v>
      </c>
      <c r="C76" s="6">
        <v>0</v>
      </c>
      <c r="D76" s="4" t="s">
        <v>562</v>
      </c>
      <c r="E76" s="7">
        <v>320</v>
      </c>
      <c r="F76" s="4" t="s">
        <v>563</v>
      </c>
      <c r="G76" s="9">
        <f t="shared" si="3"/>
        <v>0</v>
      </c>
      <c r="H76" s="9">
        <f t="shared" si="4"/>
        <v>0</v>
      </c>
      <c r="I76" s="11">
        <f t="shared" si="5"/>
        <v>0</v>
      </c>
      <c r="J76" s="19"/>
    </row>
    <row r="77" spans="1:10" ht="24" x14ac:dyDescent="0.25">
      <c r="A77" s="4" t="s">
        <v>389</v>
      </c>
      <c r="B77" s="4" t="s">
        <v>394</v>
      </c>
      <c r="C77" s="6">
        <v>5053</v>
      </c>
      <c r="D77" s="4" t="s">
        <v>104</v>
      </c>
      <c r="E77" s="7">
        <v>38</v>
      </c>
      <c r="F77" s="4" t="s">
        <v>96</v>
      </c>
      <c r="G77" s="9">
        <f t="shared" si="3"/>
        <v>192014</v>
      </c>
      <c r="H77" s="9">
        <f t="shared" si="4"/>
        <v>13.22592643614823</v>
      </c>
      <c r="I77" s="11">
        <f t="shared" si="5"/>
        <v>2.9390947635884956E-2</v>
      </c>
      <c r="J77" s="19" t="s">
        <v>564</v>
      </c>
    </row>
    <row r="78" spans="1:10" x14ac:dyDescent="0.25">
      <c r="A78" s="4" t="s">
        <v>389</v>
      </c>
      <c r="B78" s="4" t="s">
        <v>395</v>
      </c>
      <c r="C78" s="6">
        <v>1</v>
      </c>
      <c r="D78" s="4" t="s">
        <v>200</v>
      </c>
      <c r="E78" s="7">
        <v>60000</v>
      </c>
      <c r="F78" s="4" t="s">
        <v>201</v>
      </c>
      <c r="G78" s="9">
        <f t="shared" si="3"/>
        <v>60000</v>
      </c>
      <c r="H78" s="9">
        <f t="shared" si="4"/>
        <v>4.1328006612481056</v>
      </c>
      <c r="I78" s="11">
        <f t="shared" si="5"/>
        <v>9.1840014694402356E-3</v>
      </c>
      <c r="J78" s="19" t="s">
        <v>565</v>
      </c>
    </row>
    <row r="79" spans="1:10" ht="13" x14ac:dyDescent="0.3">
      <c r="A79" s="12" t="s">
        <v>566</v>
      </c>
      <c r="B79" s="14"/>
      <c r="C79" s="14"/>
      <c r="D79" s="14"/>
      <c r="E79" s="14"/>
      <c r="F79" s="14"/>
      <c r="G79" s="13">
        <f>SUM(G73:G78)</f>
        <v>1024654</v>
      </c>
      <c r="H79" s="13">
        <f t="shared" si="4"/>
        <v>70.578178812508611</v>
      </c>
      <c r="I79" s="20">
        <f t="shared" si="5"/>
        <v>0.15684039736113026</v>
      </c>
      <c r="J79" s="14"/>
    </row>
    <row r="81" spans="1:10" x14ac:dyDescent="0.25">
      <c r="A81" s="4" t="s">
        <v>396</v>
      </c>
      <c r="B81" s="4" t="s">
        <v>397</v>
      </c>
      <c r="C81" s="10">
        <f>$C$18+1</f>
        <v>9</v>
      </c>
      <c r="D81" s="4" t="s">
        <v>567</v>
      </c>
      <c r="E81" s="7">
        <v>55000</v>
      </c>
      <c r="F81" s="4" t="s">
        <v>568</v>
      </c>
      <c r="G81" s="9">
        <f t="shared" ref="G81:G89" si="6">C81*E81</f>
        <v>495000</v>
      </c>
      <c r="H81" s="9">
        <f t="shared" ref="H81:H90" si="7">G81/$C$6</f>
        <v>34.095605455296869</v>
      </c>
      <c r="I81" s="11">
        <f t="shared" ref="I81:I90" si="8">G81/$G$121</f>
        <v>7.5768012122881936E-2</v>
      </c>
      <c r="J81" s="19" t="s">
        <v>569</v>
      </c>
    </row>
    <row r="82" spans="1:10" x14ac:dyDescent="0.25">
      <c r="A82" s="4" t="s">
        <v>396</v>
      </c>
      <c r="B82" s="4" t="s">
        <v>398</v>
      </c>
      <c r="C82" s="10">
        <f>C81</f>
        <v>9</v>
      </c>
      <c r="D82" s="4" t="s">
        <v>570</v>
      </c>
      <c r="E82" s="7">
        <v>22000</v>
      </c>
      <c r="F82" s="4" t="s">
        <v>571</v>
      </c>
      <c r="G82" s="9">
        <f t="shared" si="6"/>
        <v>198000</v>
      </c>
      <c r="H82" s="9">
        <f t="shared" si="7"/>
        <v>13.638242182118749</v>
      </c>
      <c r="I82" s="11">
        <f t="shared" si="8"/>
        <v>3.0307204849152777E-2</v>
      </c>
      <c r="J82" s="19" t="s">
        <v>572</v>
      </c>
    </row>
    <row r="83" spans="1:10" x14ac:dyDescent="0.25">
      <c r="A83" s="4" t="s">
        <v>396</v>
      </c>
      <c r="B83" s="4" t="s">
        <v>399</v>
      </c>
      <c r="C83" s="10">
        <f>$C$12</f>
        <v>9</v>
      </c>
      <c r="D83" s="4" t="s">
        <v>197</v>
      </c>
      <c r="E83" s="7">
        <v>30000</v>
      </c>
      <c r="F83" s="4" t="s">
        <v>198</v>
      </c>
      <c r="G83" s="9">
        <f t="shared" si="6"/>
        <v>270000</v>
      </c>
      <c r="H83" s="9">
        <f t="shared" si="7"/>
        <v>18.597602975616475</v>
      </c>
      <c r="I83" s="11">
        <f t="shared" si="8"/>
        <v>4.1328006612481059E-2</v>
      </c>
      <c r="J83" s="19" t="s">
        <v>573</v>
      </c>
    </row>
    <row r="84" spans="1:10" x14ac:dyDescent="0.25">
      <c r="A84" s="4" t="s">
        <v>396</v>
      </c>
      <c r="B84" s="4" t="s">
        <v>400</v>
      </c>
      <c r="C84" s="10">
        <f>$C$12</f>
        <v>9</v>
      </c>
      <c r="D84" s="4" t="s">
        <v>197</v>
      </c>
      <c r="E84" s="7">
        <v>18000</v>
      </c>
      <c r="F84" s="4" t="s">
        <v>198</v>
      </c>
      <c r="G84" s="9">
        <f t="shared" si="6"/>
        <v>162000</v>
      </c>
      <c r="H84" s="9">
        <f t="shared" si="7"/>
        <v>11.158561785369885</v>
      </c>
      <c r="I84" s="11">
        <f t="shared" si="8"/>
        <v>2.4796803967488634E-2</v>
      </c>
      <c r="J84" s="19" t="s">
        <v>574</v>
      </c>
    </row>
    <row r="85" spans="1:10" x14ac:dyDescent="0.25">
      <c r="A85" s="4" t="s">
        <v>396</v>
      </c>
      <c r="B85" s="4" t="s">
        <v>401</v>
      </c>
      <c r="C85" s="10">
        <f>$C$12</f>
        <v>9</v>
      </c>
      <c r="D85" s="4" t="s">
        <v>197</v>
      </c>
      <c r="E85" s="7">
        <v>6000</v>
      </c>
      <c r="F85" s="4" t="s">
        <v>198</v>
      </c>
      <c r="G85" s="9">
        <f t="shared" si="6"/>
        <v>54000</v>
      </c>
      <c r="H85" s="9">
        <f t="shared" si="7"/>
        <v>3.7195205951232952</v>
      </c>
      <c r="I85" s="11">
        <f t="shared" si="8"/>
        <v>8.2656013224962112E-3</v>
      </c>
      <c r="J85" s="19" t="s">
        <v>575</v>
      </c>
    </row>
    <row r="86" spans="1:10" x14ac:dyDescent="0.25">
      <c r="A86" s="4" t="s">
        <v>396</v>
      </c>
      <c r="B86" s="4" t="s">
        <v>402</v>
      </c>
      <c r="C86" s="10">
        <f>$C$12</f>
        <v>9</v>
      </c>
      <c r="D86" s="4" t="s">
        <v>197</v>
      </c>
      <c r="E86" s="7">
        <v>4000</v>
      </c>
      <c r="F86" s="4" t="s">
        <v>198</v>
      </c>
      <c r="G86" s="9">
        <f t="shared" si="6"/>
        <v>36000</v>
      </c>
      <c r="H86" s="9">
        <f t="shared" si="7"/>
        <v>2.4796803967488636</v>
      </c>
      <c r="I86" s="11">
        <f t="shared" si="8"/>
        <v>5.5104008816641414E-3</v>
      </c>
      <c r="J86" s="19"/>
    </row>
    <row r="87" spans="1:10" x14ac:dyDescent="0.25">
      <c r="A87" s="4" t="s">
        <v>396</v>
      </c>
      <c r="B87" s="4" t="s">
        <v>403</v>
      </c>
      <c r="C87" s="6">
        <v>1</v>
      </c>
      <c r="D87" s="4" t="s">
        <v>200</v>
      </c>
      <c r="E87" s="7">
        <v>75000</v>
      </c>
      <c r="F87" s="4" t="s">
        <v>201</v>
      </c>
      <c r="G87" s="9">
        <f t="shared" si="6"/>
        <v>75000</v>
      </c>
      <c r="H87" s="9">
        <f t="shared" si="7"/>
        <v>5.1660008265601318</v>
      </c>
      <c r="I87" s="11">
        <f t="shared" si="8"/>
        <v>1.1480001836800294E-2</v>
      </c>
      <c r="J87" s="19" t="s">
        <v>576</v>
      </c>
    </row>
    <row r="88" spans="1:10" x14ac:dyDescent="0.25">
      <c r="A88" s="4" t="s">
        <v>396</v>
      </c>
      <c r="B88" s="4" t="s">
        <v>404</v>
      </c>
      <c r="C88" s="10">
        <f>$C$9+$C$22</f>
        <v>4333</v>
      </c>
      <c r="D88" s="4" t="s">
        <v>104</v>
      </c>
      <c r="E88" s="7">
        <v>28</v>
      </c>
      <c r="F88" s="4" t="s">
        <v>96</v>
      </c>
      <c r="G88" s="9">
        <f t="shared" si="6"/>
        <v>121324</v>
      </c>
      <c r="H88" s="9">
        <f t="shared" si="7"/>
        <v>8.3567984570877538</v>
      </c>
      <c r="I88" s="11">
        <f t="shared" si="8"/>
        <v>1.8570663237972785E-2</v>
      </c>
      <c r="J88" s="19" t="s">
        <v>577</v>
      </c>
    </row>
    <row r="89" spans="1:10" x14ac:dyDescent="0.25">
      <c r="A89" s="4" t="s">
        <v>396</v>
      </c>
      <c r="B89" s="4" t="s">
        <v>405</v>
      </c>
      <c r="C89" s="10">
        <f>$C$6+$C$7</f>
        <v>17578</v>
      </c>
      <c r="D89" s="4" t="s">
        <v>448</v>
      </c>
      <c r="E89" s="7">
        <v>14</v>
      </c>
      <c r="F89" s="4" t="s">
        <v>485</v>
      </c>
      <c r="G89" s="9">
        <f t="shared" si="6"/>
        <v>246092</v>
      </c>
      <c r="H89" s="9">
        <f t="shared" si="7"/>
        <v>16.950819672131146</v>
      </c>
      <c r="I89" s="11">
        <f t="shared" si="8"/>
        <v>3.766848816029144E-2</v>
      </c>
      <c r="J89" s="19" t="s">
        <v>578</v>
      </c>
    </row>
    <row r="90" spans="1:10" ht="13" x14ac:dyDescent="0.3">
      <c r="A90" s="12" t="s">
        <v>579</v>
      </c>
      <c r="B90" s="14"/>
      <c r="C90" s="14"/>
      <c r="D90" s="14"/>
      <c r="E90" s="14"/>
      <c r="F90" s="14"/>
      <c r="G90" s="13">
        <f>SUM(G81:G89)</f>
        <v>1657416</v>
      </c>
      <c r="H90" s="13">
        <f t="shared" si="7"/>
        <v>114.16283234605318</v>
      </c>
      <c r="I90" s="20">
        <f t="shared" si="8"/>
        <v>0.25369518299122928</v>
      </c>
      <c r="J90" s="14"/>
    </row>
    <row r="92" spans="1:10" x14ac:dyDescent="0.25">
      <c r="A92" s="4" t="s">
        <v>406</v>
      </c>
      <c r="B92" s="4" t="s">
        <v>407</v>
      </c>
      <c r="C92" s="10">
        <f>$C$14</f>
        <v>330</v>
      </c>
      <c r="D92" s="4" t="s">
        <v>463</v>
      </c>
      <c r="E92" s="7">
        <v>175</v>
      </c>
      <c r="F92" s="4" t="s">
        <v>548</v>
      </c>
      <c r="G92" s="9">
        <f t="shared" ref="G92:G106" si="9">C92*E92</f>
        <v>57750</v>
      </c>
      <c r="H92" s="9">
        <f t="shared" ref="H92:H107" si="10">G92/$C$6</f>
        <v>3.9778206364513018</v>
      </c>
      <c r="I92" s="11">
        <f t="shared" ref="I92:I107" si="11">G92/$G$121</f>
        <v>8.8396014143362258E-3</v>
      </c>
      <c r="J92" s="19" t="s">
        <v>580</v>
      </c>
    </row>
    <row r="93" spans="1:10" x14ac:dyDescent="0.25">
      <c r="A93" s="4" t="s">
        <v>406</v>
      </c>
      <c r="B93" s="4" t="s">
        <v>408</v>
      </c>
      <c r="C93" s="10">
        <f>$E$34</f>
        <v>495</v>
      </c>
      <c r="D93" s="4" t="s">
        <v>463</v>
      </c>
      <c r="E93" s="7">
        <v>110</v>
      </c>
      <c r="F93" s="4" t="s">
        <v>548</v>
      </c>
      <c r="G93" s="9">
        <f t="shared" si="9"/>
        <v>54450</v>
      </c>
      <c r="H93" s="9">
        <f t="shared" si="10"/>
        <v>3.7505166000826562</v>
      </c>
      <c r="I93" s="11">
        <f t="shared" si="11"/>
        <v>8.3344813335170138E-3</v>
      </c>
      <c r="J93" s="19" t="s">
        <v>581</v>
      </c>
    </row>
    <row r="94" spans="1:10" x14ac:dyDescent="0.25">
      <c r="A94" s="4" t="s">
        <v>406</v>
      </c>
      <c r="B94" s="4" t="s">
        <v>409</v>
      </c>
      <c r="C94" s="10">
        <f>$C$12</f>
        <v>9</v>
      </c>
      <c r="D94" s="4" t="s">
        <v>582</v>
      </c>
      <c r="E94" s="7">
        <v>2500</v>
      </c>
      <c r="F94" s="4" t="s">
        <v>563</v>
      </c>
      <c r="G94" s="9">
        <f t="shared" si="9"/>
        <v>22500</v>
      </c>
      <c r="H94" s="9">
        <f t="shared" si="10"/>
        <v>1.5498002479680397</v>
      </c>
      <c r="I94" s="11">
        <f t="shared" si="11"/>
        <v>3.4440005510400881E-3</v>
      </c>
      <c r="J94" s="19"/>
    </row>
    <row r="95" spans="1:10" x14ac:dyDescent="0.25">
      <c r="A95" s="4" t="s">
        <v>406</v>
      </c>
      <c r="B95" s="4" t="s">
        <v>410</v>
      </c>
      <c r="C95" s="10">
        <f>$F$34</f>
        <v>47</v>
      </c>
      <c r="D95" s="4" t="s">
        <v>582</v>
      </c>
      <c r="E95" s="7">
        <v>1200</v>
      </c>
      <c r="F95" s="4" t="s">
        <v>563</v>
      </c>
      <c r="G95" s="9">
        <f t="shared" si="9"/>
        <v>56400</v>
      </c>
      <c r="H95" s="9">
        <f t="shared" si="10"/>
        <v>3.8848326215732194</v>
      </c>
      <c r="I95" s="11">
        <f t="shared" si="11"/>
        <v>8.6329613812738213E-3</v>
      </c>
      <c r="J95" s="19" t="s">
        <v>583</v>
      </c>
    </row>
    <row r="96" spans="1:10" x14ac:dyDescent="0.25">
      <c r="A96" s="4" t="s">
        <v>406</v>
      </c>
      <c r="B96" s="4" t="s">
        <v>411</v>
      </c>
      <c r="C96" s="10">
        <f>$C$10</f>
        <v>6879</v>
      </c>
      <c r="D96" s="4" t="s">
        <v>584</v>
      </c>
      <c r="E96" s="7">
        <v>10</v>
      </c>
      <c r="F96" s="4" t="s">
        <v>96</v>
      </c>
      <c r="G96" s="9">
        <f t="shared" si="9"/>
        <v>68790</v>
      </c>
      <c r="H96" s="9">
        <f t="shared" si="10"/>
        <v>4.7382559581209529</v>
      </c>
      <c r="I96" s="11">
        <f t="shared" si="11"/>
        <v>1.052945768471323E-2</v>
      </c>
      <c r="J96" s="19" t="s">
        <v>585</v>
      </c>
    </row>
    <row r="97" spans="1:10" x14ac:dyDescent="0.25">
      <c r="A97" s="4" t="s">
        <v>406</v>
      </c>
      <c r="B97" s="4" t="s">
        <v>412</v>
      </c>
      <c r="C97" s="10">
        <f>$C$12</f>
        <v>9</v>
      </c>
      <c r="D97" s="4" t="s">
        <v>197</v>
      </c>
      <c r="E97" s="7">
        <v>10000</v>
      </c>
      <c r="F97" s="4" t="s">
        <v>198</v>
      </c>
      <c r="G97" s="9">
        <f t="shared" si="9"/>
        <v>90000</v>
      </c>
      <c r="H97" s="9">
        <f t="shared" si="10"/>
        <v>6.1992009918721589</v>
      </c>
      <c r="I97" s="11">
        <f t="shared" si="11"/>
        <v>1.3776002204160353E-2</v>
      </c>
      <c r="J97" s="19" t="s">
        <v>585</v>
      </c>
    </row>
    <row r="98" spans="1:10" x14ac:dyDescent="0.25">
      <c r="A98" s="4" t="s">
        <v>406</v>
      </c>
      <c r="B98" s="4" t="s">
        <v>413</v>
      </c>
      <c r="C98" s="10">
        <f>$C$10</f>
        <v>6879</v>
      </c>
      <c r="D98" s="4" t="s">
        <v>584</v>
      </c>
      <c r="E98" s="7">
        <v>30</v>
      </c>
      <c r="F98" s="4" t="s">
        <v>96</v>
      </c>
      <c r="G98" s="9">
        <f t="shared" si="9"/>
        <v>206370</v>
      </c>
      <c r="H98" s="9">
        <f t="shared" si="10"/>
        <v>14.21476787436286</v>
      </c>
      <c r="I98" s="11">
        <f t="shared" si="11"/>
        <v>3.1588373054139689E-2</v>
      </c>
      <c r="J98" s="19"/>
    </row>
    <row r="99" spans="1:10" ht="24" x14ac:dyDescent="0.25">
      <c r="A99" s="4" t="s">
        <v>406</v>
      </c>
      <c r="B99" s="4" t="s">
        <v>414</v>
      </c>
      <c r="C99" s="10">
        <f>$C$12</f>
        <v>9</v>
      </c>
      <c r="D99" s="4" t="s">
        <v>586</v>
      </c>
      <c r="E99" s="7">
        <v>18000</v>
      </c>
      <c r="F99" s="4" t="s">
        <v>563</v>
      </c>
      <c r="G99" s="9">
        <f t="shared" si="9"/>
        <v>162000</v>
      </c>
      <c r="H99" s="9">
        <f t="shared" si="10"/>
        <v>11.158561785369885</v>
      </c>
      <c r="I99" s="11">
        <f t="shared" si="11"/>
        <v>2.4796803967488634E-2</v>
      </c>
      <c r="J99" s="19" t="s">
        <v>587</v>
      </c>
    </row>
    <row r="100" spans="1:10" x14ac:dyDescent="0.25">
      <c r="A100" s="4" t="s">
        <v>406</v>
      </c>
      <c r="B100" s="4" t="s">
        <v>415</v>
      </c>
      <c r="C100" s="10">
        <f>$C$12</f>
        <v>9</v>
      </c>
      <c r="D100" s="4" t="s">
        <v>586</v>
      </c>
      <c r="E100" s="7">
        <v>12000</v>
      </c>
      <c r="F100" s="4" t="s">
        <v>563</v>
      </c>
      <c r="G100" s="9">
        <f t="shared" si="9"/>
        <v>108000</v>
      </c>
      <c r="H100" s="9">
        <f t="shared" si="10"/>
        <v>7.4390411902465905</v>
      </c>
      <c r="I100" s="11">
        <f t="shared" si="11"/>
        <v>1.6531202644992422E-2</v>
      </c>
      <c r="J100" s="19" t="s">
        <v>588</v>
      </c>
    </row>
    <row r="101" spans="1:10" x14ac:dyDescent="0.25">
      <c r="A101" s="4" t="s">
        <v>406</v>
      </c>
      <c r="B101" s="4" t="s">
        <v>416</v>
      </c>
      <c r="C101" s="10">
        <f>$G$34</f>
        <v>12</v>
      </c>
      <c r="D101" s="4" t="s">
        <v>589</v>
      </c>
      <c r="E101" s="7">
        <v>14000</v>
      </c>
      <c r="F101" s="4" t="s">
        <v>563</v>
      </c>
      <c r="G101" s="9">
        <f t="shared" si="9"/>
        <v>168000</v>
      </c>
      <c r="H101" s="9">
        <f t="shared" si="10"/>
        <v>11.571841851494696</v>
      </c>
      <c r="I101" s="11">
        <f t="shared" si="11"/>
        <v>2.571520411443266E-2</v>
      </c>
      <c r="J101" s="19" t="s">
        <v>590</v>
      </c>
    </row>
    <row r="102" spans="1:10" x14ac:dyDescent="0.25">
      <c r="A102" s="4" t="s">
        <v>406</v>
      </c>
      <c r="B102" s="4" t="s">
        <v>417</v>
      </c>
      <c r="C102" s="6">
        <v>1</v>
      </c>
      <c r="D102" s="4" t="s">
        <v>200</v>
      </c>
      <c r="E102" s="7">
        <v>85000</v>
      </c>
      <c r="F102" s="4" t="s">
        <v>201</v>
      </c>
      <c r="G102" s="9">
        <f t="shared" si="9"/>
        <v>85000</v>
      </c>
      <c r="H102" s="9">
        <f t="shared" si="10"/>
        <v>5.8548009367681502</v>
      </c>
      <c r="I102" s="11">
        <f t="shared" si="11"/>
        <v>1.3010668748373666E-2</v>
      </c>
      <c r="J102" s="19" t="s">
        <v>591</v>
      </c>
    </row>
    <row r="103" spans="1:10" x14ac:dyDescent="0.25">
      <c r="A103" s="4" t="s">
        <v>406</v>
      </c>
      <c r="B103" s="4" t="s">
        <v>418</v>
      </c>
      <c r="C103" s="10">
        <f>$C$17</f>
        <v>1857</v>
      </c>
      <c r="D103" s="4" t="s">
        <v>104</v>
      </c>
      <c r="E103" s="7">
        <v>60</v>
      </c>
      <c r="F103" s="4" t="s">
        <v>96</v>
      </c>
      <c r="G103" s="9">
        <f t="shared" si="9"/>
        <v>111420</v>
      </c>
      <c r="H103" s="9">
        <f t="shared" si="10"/>
        <v>7.6746108279377321</v>
      </c>
      <c r="I103" s="11">
        <f t="shared" si="11"/>
        <v>1.7054690728750516E-2</v>
      </c>
      <c r="J103" s="19" t="s">
        <v>592</v>
      </c>
    </row>
    <row r="104" spans="1:10" x14ac:dyDescent="0.25">
      <c r="A104" s="4" t="s">
        <v>406</v>
      </c>
      <c r="B104" s="4" t="s">
        <v>419</v>
      </c>
      <c r="C104" s="6">
        <v>1</v>
      </c>
      <c r="D104" s="4" t="s">
        <v>200</v>
      </c>
      <c r="E104" s="7">
        <v>40000</v>
      </c>
      <c r="F104" s="4" t="s">
        <v>201</v>
      </c>
      <c r="G104" s="9">
        <f t="shared" si="9"/>
        <v>40000</v>
      </c>
      <c r="H104" s="9">
        <f t="shared" si="10"/>
        <v>2.7552004408320707</v>
      </c>
      <c r="I104" s="11">
        <f t="shared" si="11"/>
        <v>6.1226676462934901E-3</v>
      </c>
      <c r="J104" s="19" t="s">
        <v>593</v>
      </c>
    </row>
    <row r="105" spans="1:10" x14ac:dyDescent="0.25">
      <c r="A105" s="4" t="s">
        <v>406</v>
      </c>
      <c r="B105" s="4" t="s">
        <v>420</v>
      </c>
      <c r="C105" s="10">
        <f>$C$11</f>
        <v>2855</v>
      </c>
      <c r="D105" s="4" t="s">
        <v>104</v>
      </c>
      <c r="E105" s="7">
        <v>85</v>
      </c>
      <c r="F105" s="4" t="s">
        <v>96</v>
      </c>
      <c r="G105" s="9">
        <f t="shared" si="9"/>
        <v>242675</v>
      </c>
      <c r="H105" s="9">
        <f t="shared" si="10"/>
        <v>16.715456674473067</v>
      </c>
      <c r="I105" s="11">
        <f t="shared" si="11"/>
        <v>3.714545927660682E-2</v>
      </c>
      <c r="J105" s="19"/>
    </row>
    <row r="106" spans="1:10" ht="24" x14ac:dyDescent="0.25">
      <c r="A106" s="4" t="s">
        <v>406</v>
      </c>
      <c r="B106" s="4" t="s">
        <v>421</v>
      </c>
      <c r="C106" s="6">
        <v>5413</v>
      </c>
      <c r="D106" s="4" t="s">
        <v>104</v>
      </c>
      <c r="E106" s="7">
        <v>75</v>
      </c>
      <c r="F106" s="4" t="s">
        <v>96</v>
      </c>
      <c r="G106" s="9">
        <f t="shared" si="9"/>
        <v>405975</v>
      </c>
      <c r="H106" s="9">
        <f t="shared" si="10"/>
        <v>27.963562474169997</v>
      </c>
      <c r="I106" s="11">
        <f t="shared" si="11"/>
        <v>6.2141249942599994E-2</v>
      </c>
      <c r="J106" s="19" t="s">
        <v>594</v>
      </c>
    </row>
    <row r="107" spans="1:10" ht="13" x14ac:dyDescent="0.3">
      <c r="A107" s="12" t="s">
        <v>595</v>
      </c>
      <c r="B107" s="14"/>
      <c r="C107" s="14"/>
      <c r="D107" s="14"/>
      <c r="E107" s="14"/>
      <c r="F107" s="14"/>
      <c r="G107" s="13">
        <f>SUM(G92:G106)</f>
        <v>1879330</v>
      </c>
      <c r="H107" s="13">
        <f t="shared" si="10"/>
        <v>129.44827111172339</v>
      </c>
      <c r="I107" s="20">
        <f t="shared" si="11"/>
        <v>0.28766282469271864</v>
      </c>
      <c r="J107" s="14"/>
    </row>
    <row r="109" spans="1:10" x14ac:dyDescent="0.25">
      <c r="A109" s="4" t="s">
        <v>422</v>
      </c>
      <c r="B109" s="4" t="s">
        <v>423</v>
      </c>
      <c r="C109" s="6">
        <v>25</v>
      </c>
      <c r="D109" s="4" t="s">
        <v>596</v>
      </c>
      <c r="E109" s="7">
        <v>850</v>
      </c>
      <c r="F109" s="4" t="s">
        <v>548</v>
      </c>
      <c r="G109" s="9">
        <f>C109*E109</f>
        <v>21250</v>
      </c>
      <c r="H109" s="9">
        <f>G109/$C$6</f>
        <v>1.4637002341920375</v>
      </c>
      <c r="I109" s="11">
        <f>G109/$G$121</f>
        <v>3.2526671870934166E-3</v>
      </c>
      <c r="J109" s="19" t="s">
        <v>597</v>
      </c>
    </row>
    <row r="110" spans="1:10" ht="24" x14ac:dyDescent="0.25">
      <c r="A110" s="4" t="s">
        <v>422</v>
      </c>
      <c r="B110" s="4" t="s">
        <v>424</v>
      </c>
      <c r="C110" s="6">
        <v>0</v>
      </c>
      <c r="D110" s="4" t="s">
        <v>200</v>
      </c>
      <c r="E110" s="7">
        <v>0</v>
      </c>
      <c r="F110" s="4" t="s">
        <v>201</v>
      </c>
      <c r="G110" s="9">
        <f>C110*E110</f>
        <v>0</v>
      </c>
      <c r="H110" s="9">
        <f>G110/$C$6</f>
        <v>0</v>
      </c>
      <c r="I110" s="11">
        <f>G110/$G$121</f>
        <v>0</v>
      </c>
      <c r="J110" s="19" t="s">
        <v>598</v>
      </c>
    </row>
    <row r="111" spans="1:10" ht="13" x14ac:dyDescent="0.3">
      <c r="A111" s="12" t="s">
        <v>599</v>
      </c>
      <c r="B111" s="14"/>
      <c r="C111" s="14"/>
      <c r="D111" s="14"/>
      <c r="E111" s="14"/>
      <c r="F111" s="14"/>
      <c r="G111" s="13">
        <f>SUM(G109:G110)</f>
        <v>21250</v>
      </c>
      <c r="H111" s="13">
        <f>G111/$C$6</f>
        <v>1.4637002341920375</v>
      </c>
      <c r="I111" s="20">
        <f>G111/$G$121</f>
        <v>3.2526671870934166E-3</v>
      </c>
      <c r="J111" s="14"/>
    </row>
    <row r="113" spans="1:10" ht="13" x14ac:dyDescent="0.3">
      <c r="A113" s="12" t="s">
        <v>600</v>
      </c>
      <c r="B113" s="14"/>
      <c r="C113" s="14"/>
      <c r="D113" s="14"/>
      <c r="E113" s="14"/>
      <c r="F113" s="14"/>
      <c r="G113" s="13">
        <f>(G71+G79+G90+G107+G111)*(1+$C$21)</f>
        <v>5720959.6470588241</v>
      </c>
      <c r="H113" s="13">
        <f>G113/$C$6</f>
        <v>394.05976353897398</v>
      </c>
      <c r="I113" s="20">
        <f>G113/$G$121</f>
        <v>0.87568836341994216</v>
      </c>
      <c r="J113" s="14"/>
    </row>
    <row r="115" spans="1:10" x14ac:dyDescent="0.25">
      <c r="A115" s="4" t="s">
        <v>425</v>
      </c>
      <c r="B115" s="4" t="s">
        <v>426</v>
      </c>
      <c r="C115" s="9">
        <f>G113</f>
        <v>5720959.6470588241</v>
      </c>
      <c r="D115" s="4" t="s">
        <v>601</v>
      </c>
      <c r="E115" s="8">
        <v>0.1</v>
      </c>
      <c r="F115" s="4" t="s">
        <v>602</v>
      </c>
      <c r="G115" s="9">
        <f>C115*E115</f>
        <v>572095.96470588248</v>
      </c>
      <c r="H115" s="9">
        <f>G115/$C$6</f>
        <v>39.405976353897401</v>
      </c>
      <c r="I115" s="11">
        <f>G115/$G$121</f>
        <v>8.7568836341994222E-2</v>
      </c>
      <c r="J115" s="19" t="s">
        <v>603</v>
      </c>
    </row>
    <row r="116" spans="1:10" ht="13" x14ac:dyDescent="0.3">
      <c r="A116" s="12" t="s">
        <v>604</v>
      </c>
      <c r="B116" s="14"/>
      <c r="C116" s="14"/>
      <c r="D116" s="14"/>
      <c r="E116" s="14"/>
      <c r="F116" s="14"/>
      <c r="G116" s="13">
        <f>G113+G115</f>
        <v>6293055.6117647067</v>
      </c>
      <c r="H116" s="13">
        <f>G116/$C$6</f>
        <v>433.4657398928714</v>
      </c>
      <c r="I116" s="20">
        <f>G116/$G$121</f>
        <v>0.96325719976193636</v>
      </c>
      <c r="J116" s="14"/>
    </row>
    <row r="118" spans="1:10" ht="36" x14ac:dyDescent="0.25">
      <c r="A118" s="4" t="s">
        <v>605</v>
      </c>
      <c r="B118" s="4" t="s">
        <v>606</v>
      </c>
      <c r="C118" s="9">
        <f>G116</f>
        <v>6293055.6117647067</v>
      </c>
      <c r="D118" s="4" t="s">
        <v>607</v>
      </c>
      <c r="E118" s="8">
        <v>0.01</v>
      </c>
      <c r="F118" s="4" t="s">
        <v>608</v>
      </c>
      <c r="G118" s="9">
        <f>C118*E118</f>
        <v>62930.556117647066</v>
      </c>
      <c r="H118" s="9">
        <f>G118/$C$6</f>
        <v>4.334657398928714</v>
      </c>
      <c r="I118" s="11">
        <f>G118/$G$121</f>
        <v>9.6325719976193633E-3</v>
      </c>
      <c r="J118" s="19" t="s">
        <v>609</v>
      </c>
    </row>
    <row r="119" spans="1:10" x14ac:dyDescent="0.25">
      <c r="A119" s="4" t="s">
        <v>605</v>
      </c>
      <c r="B119" s="4" t="s">
        <v>610</v>
      </c>
      <c r="C119" s="9">
        <f>G116+G118</f>
        <v>6355986.167882354</v>
      </c>
      <c r="D119" s="4" t="s">
        <v>611</v>
      </c>
      <c r="E119" s="8">
        <v>7.4999999999999997E-2</v>
      </c>
      <c r="F119" s="4" t="s">
        <v>612</v>
      </c>
      <c r="G119" s="9">
        <f>C119*E119</f>
        <v>476698.9625911765</v>
      </c>
      <c r="H119" s="9">
        <f>G119/$C$6</f>
        <v>32.835029796885003</v>
      </c>
      <c r="I119" s="11">
        <f>G119/$G$121</f>
        <v>7.2966732881966673E-2</v>
      </c>
      <c r="J119" s="19" t="s">
        <v>613</v>
      </c>
    </row>
    <row r="120" spans="1:10" ht="24" x14ac:dyDescent="0.25">
      <c r="A120" s="4" t="s">
        <v>605</v>
      </c>
      <c r="B120" s="4" t="s">
        <v>614</v>
      </c>
      <c r="C120" s="9"/>
      <c r="D120" s="4"/>
      <c r="E120" s="8"/>
      <c r="F120" s="4"/>
      <c r="G120" s="9">
        <f>IF($C$25=1,$C$23*$C$24*(1+$C$21)-(G116+G118+G119),0)</f>
        <v>-299585.13047353085</v>
      </c>
      <c r="H120" s="9">
        <f>G120/$C$6</f>
        <v>-20.635427088685141</v>
      </c>
      <c r="I120" s="11">
        <f>G120/$G$121</f>
        <v>-4.5856504641522529E-2</v>
      </c>
      <c r="J120" s="19" t="s">
        <v>615</v>
      </c>
    </row>
    <row r="121" spans="1:10" ht="13" x14ac:dyDescent="0.3">
      <c r="A121" s="15" t="s">
        <v>616</v>
      </c>
      <c r="B121" s="15"/>
      <c r="C121" s="15"/>
      <c r="D121" s="15"/>
      <c r="E121" s="15"/>
      <c r="F121" s="15"/>
      <c r="G121" s="16">
        <f>G116+G118+G119+G120</f>
        <v>6533100</v>
      </c>
      <c r="H121" s="16">
        <f>G121/$C$6</f>
        <v>450</v>
      </c>
      <c r="I121" s="21">
        <f>G121/G121</f>
        <v>1</v>
      </c>
      <c r="J121" s="15"/>
    </row>
    <row r="123" spans="1:10" ht="13" x14ac:dyDescent="0.3">
      <c r="A123" s="18" t="s">
        <v>617</v>
      </c>
    </row>
    <row r="124" spans="1:10" x14ac:dyDescent="0.25">
      <c r="B124" s="4" t="s">
        <v>618</v>
      </c>
      <c r="F124" s="4" t="s">
        <v>485</v>
      </c>
      <c r="G124" s="9">
        <f>G121/$C$6</f>
        <v>450</v>
      </c>
    </row>
    <row r="125" spans="1:10" x14ac:dyDescent="0.25">
      <c r="B125" s="4" t="s">
        <v>619</v>
      </c>
      <c r="F125" s="4" t="s">
        <v>485</v>
      </c>
      <c r="G125" s="9">
        <f>G121/($C$6+$C$7)</f>
        <v>371.66344294003869</v>
      </c>
    </row>
    <row r="126" spans="1:10" x14ac:dyDescent="0.25">
      <c r="B126" s="4" t="s">
        <v>620</v>
      </c>
      <c r="F126" s="4" t="s">
        <v>96</v>
      </c>
      <c r="G126" s="9">
        <f>G121/$C$10</f>
        <v>949.71652856519847</v>
      </c>
    </row>
    <row r="127" spans="1:10" x14ac:dyDescent="0.25">
      <c r="B127" s="4" t="s">
        <v>621</v>
      </c>
      <c r="F127" s="4" t="s">
        <v>198</v>
      </c>
      <c r="G127" s="9">
        <f>G121/$C$12</f>
        <v>725900</v>
      </c>
    </row>
    <row r="128" spans="1:10" x14ac:dyDescent="0.25">
      <c r="B128" s="4" t="s">
        <v>622</v>
      </c>
      <c r="F128" s="4" t="s">
        <v>174</v>
      </c>
      <c r="G128" s="9">
        <f>G116+G118+G119</f>
        <v>6832685.1304735309</v>
      </c>
    </row>
    <row r="129" spans="1:7" ht="13" x14ac:dyDescent="0.3">
      <c r="A129" s="2"/>
      <c r="B129" s="4" t="s">
        <v>623</v>
      </c>
      <c r="F129" s="4" t="s">
        <v>485</v>
      </c>
      <c r="G129" s="9">
        <f>G128/$C$6</f>
        <v>470.63542708868516</v>
      </c>
    </row>
    <row r="130" spans="1:7" ht="13" x14ac:dyDescent="0.3">
      <c r="A130" s="2"/>
    </row>
    <row r="131" spans="1:7" ht="13" x14ac:dyDescent="0.3">
      <c r="A131" s="2" t="s">
        <v>624</v>
      </c>
    </row>
    <row r="132" spans="1:7" ht="13" x14ac:dyDescent="0.3">
      <c r="A132" s="2" t="s">
        <v>625</v>
      </c>
    </row>
  </sheetData>
  <pageMargins left="0.5" right="0.5" top="0.6" bottom="0.6" header="0.3" footer="0.3"/>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pageSetUpPr fitToPage="1"/>
  </sheetPr>
  <dimension ref="A1:J68"/>
  <sheetViews>
    <sheetView showGridLines="0" workbookViewId="0">
      <pane ySplit="3" topLeftCell="A4" activePane="bottomLeft" state="frozen"/>
      <selection pane="bottomLeft"/>
    </sheetView>
  </sheetViews>
  <sheetFormatPr defaultRowHeight="12.5" outlineLevelRow="1" x14ac:dyDescent="0.25"/>
  <cols>
    <col min="1" max="1" width="24" customWidth="1"/>
    <col min="2" max="2" width="48" customWidth="1"/>
    <col min="3" max="3" width="14" customWidth="1"/>
    <col min="4" max="4" width="13" customWidth="1"/>
    <col min="5" max="5" width="11" customWidth="1"/>
    <col min="6" max="6" width="17" customWidth="1"/>
    <col min="7" max="7" width="14" customWidth="1"/>
    <col min="8" max="8" width="10" customWidth="1"/>
    <col min="9" max="9" width="15" customWidth="1"/>
    <col min="10" max="10" width="62" customWidth="1"/>
  </cols>
  <sheetData>
    <row r="1" spans="1:10" ht="18" x14ac:dyDescent="0.4">
      <c r="A1" s="1" t="s">
        <v>626</v>
      </c>
    </row>
    <row r="2" spans="1:10" ht="13" x14ac:dyDescent="0.3">
      <c r="A2" s="2" t="s">
        <v>627</v>
      </c>
    </row>
    <row r="3" spans="1:10" ht="13" x14ac:dyDescent="0.3">
      <c r="A3" s="2" t="s">
        <v>628</v>
      </c>
    </row>
    <row r="5" spans="1:10" ht="13" x14ac:dyDescent="0.3">
      <c r="A5" s="18" t="s">
        <v>629</v>
      </c>
    </row>
    <row r="6" spans="1:10" ht="24" outlineLevel="1" x14ac:dyDescent="0.25">
      <c r="B6" s="4" t="s">
        <v>274</v>
      </c>
      <c r="C6" s="26">
        <f>'Hard Costs'!$G$121</f>
        <v>6533100</v>
      </c>
      <c r="D6" s="4" t="s">
        <v>174</v>
      </c>
      <c r="J6" s="19" t="s">
        <v>630</v>
      </c>
    </row>
    <row r="7" spans="1:10" outlineLevel="1" x14ac:dyDescent="0.25">
      <c r="B7" s="4" t="s">
        <v>631</v>
      </c>
      <c r="C7" s="7">
        <v>4000000</v>
      </c>
      <c r="D7" s="4" t="s">
        <v>174</v>
      </c>
      <c r="J7" s="19" t="s">
        <v>632</v>
      </c>
    </row>
    <row r="8" spans="1:10" outlineLevel="1" x14ac:dyDescent="0.25">
      <c r="B8" s="4" t="s">
        <v>13</v>
      </c>
      <c r="C8" s="28">
        <f>'Hard Costs'!$C$6</f>
        <v>14518</v>
      </c>
      <c r="D8" s="4" t="s">
        <v>448</v>
      </c>
      <c r="J8" s="19" t="s">
        <v>633</v>
      </c>
    </row>
    <row r="9" spans="1:10" outlineLevel="1" x14ac:dyDescent="0.25">
      <c r="B9" s="4" t="s">
        <v>450</v>
      </c>
      <c r="C9" s="28">
        <f>'Hard Costs'!$C$7</f>
        <v>3060</v>
      </c>
      <c r="D9" s="4" t="s">
        <v>104</v>
      </c>
      <c r="J9" s="19" t="s">
        <v>633</v>
      </c>
    </row>
    <row r="10" spans="1:10" outlineLevel="1" x14ac:dyDescent="0.25">
      <c r="B10" s="4" t="s">
        <v>634</v>
      </c>
      <c r="C10" s="10">
        <f>$C$8+$C$9</f>
        <v>17578</v>
      </c>
      <c r="D10" s="4" t="s">
        <v>448</v>
      </c>
      <c r="J10" s="19" t="s">
        <v>635</v>
      </c>
    </row>
    <row r="11" spans="1:10" outlineLevel="1" x14ac:dyDescent="0.25">
      <c r="B11" s="4" t="s">
        <v>4</v>
      </c>
      <c r="C11" s="28">
        <f>'Hard Costs'!$C$12</f>
        <v>9</v>
      </c>
      <c r="D11" s="4" t="s">
        <v>197</v>
      </c>
      <c r="J11" s="19" t="s">
        <v>633</v>
      </c>
    </row>
    <row r="12" spans="1:10" outlineLevel="1" x14ac:dyDescent="0.25">
      <c r="B12" s="4" t="s">
        <v>246</v>
      </c>
      <c r="C12" s="28">
        <f>Finance!$B$10</f>
        <v>32</v>
      </c>
      <c r="D12" s="4" t="s">
        <v>239</v>
      </c>
      <c r="J12" s="19" t="s">
        <v>636</v>
      </c>
    </row>
    <row r="13" spans="1:10" ht="36" outlineLevel="1" x14ac:dyDescent="0.25">
      <c r="B13" s="4" t="s">
        <v>637</v>
      </c>
      <c r="C13" s="28">
        <f>Finance!$B$7</f>
        <v>20</v>
      </c>
      <c r="D13" s="4" t="s">
        <v>239</v>
      </c>
      <c r="J13" s="19" t="s">
        <v>638</v>
      </c>
    </row>
    <row r="14" spans="1:10" ht="24" outlineLevel="1" x14ac:dyDescent="0.25">
      <c r="B14" s="4" t="s">
        <v>639</v>
      </c>
      <c r="C14" s="6">
        <v>36</v>
      </c>
      <c r="D14" s="4" t="s">
        <v>239</v>
      </c>
      <c r="J14" s="19" t="s">
        <v>640</v>
      </c>
    </row>
    <row r="15" spans="1:10" ht="24" outlineLevel="1" x14ac:dyDescent="0.25">
      <c r="B15" s="4" t="s">
        <v>641</v>
      </c>
      <c r="C15" s="26">
        <f>Finance!$B$38</f>
        <v>9303306.9360000007</v>
      </c>
      <c r="D15" s="4" t="s">
        <v>174</v>
      </c>
      <c r="J15" s="19" t="s">
        <v>642</v>
      </c>
    </row>
    <row r="16" spans="1:10" outlineLevel="1" x14ac:dyDescent="0.25">
      <c r="B16" s="4" t="s">
        <v>643</v>
      </c>
      <c r="C16" s="28">
        <v>0</v>
      </c>
      <c r="D16" s="4" t="s">
        <v>104</v>
      </c>
      <c r="J16" s="19" t="s">
        <v>644</v>
      </c>
    </row>
    <row r="18" spans="1:10" ht="20" customHeight="1" x14ac:dyDescent="0.25">
      <c r="A18" s="3" t="s">
        <v>645</v>
      </c>
      <c r="B18" s="3" t="s">
        <v>180</v>
      </c>
      <c r="C18" s="3" t="s">
        <v>181</v>
      </c>
      <c r="D18" s="3" t="s">
        <v>182</v>
      </c>
      <c r="E18" s="3" t="s">
        <v>183</v>
      </c>
      <c r="F18" s="3" t="s">
        <v>184</v>
      </c>
      <c r="G18" s="3" t="s">
        <v>185</v>
      </c>
      <c r="H18" s="3" t="s">
        <v>543</v>
      </c>
      <c r="I18" s="3" t="s">
        <v>646</v>
      </c>
      <c r="J18" s="3" t="s">
        <v>24</v>
      </c>
    </row>
    <row r="19" spans="1:10" ht="13" x14ac:dyDescent="0.3">
      <c r="A19" s="24" t="s">
        <v>647</v>
      </c>
      <c r="B19" s="24"/>
      <c r="C19" s="24"/>
      <c r="D19" s="24"/>
      <c r="E19" s="24"/>
      <c r="F19" s="24"/>
      <c r="G19" s="24"/>
      <c r="H19" s="24"/>
      <c r="I19" s="24"/>
      <c r="J19" s="24"/>
    </row>
    <row r="20" spans="1:10" x14ac:dyDescent="0.25">
      <c r="A20" s="4" t="s">
        <v>648</v>
      </c>
      <c r="B20" s="4" t="s">
        <v>649</v>
      </c>
      <c r="C20" s="9">
        <f>$C$7</f>
        <v>4000000</v>
      </c>
      <c r="D20" s="4" t="s">
        <v>650</v>
      </c>
      <c r="E20" s="8">
        <v>1</v>
      </c>
      <c r="F20" s="4" t="s">
        <v>651</v>
      </c>
      <c r="G20" s="9">
        <f>C20*E20</f>
        <v>4000000</v>
      </c>
      <c r="H20" s="11">
        <f>G20/$C$6</f>
        <v>0.61226676462934904</v>
      </c>
      <c r="I20" s="4" t="s">
        <v>652</v>
      </c>
      <c r="J20" s="19" t="s">
        <v>653</v>
      </c>
    </row>
    <row r="21" spans="1:10" ht="13" x14ac:dyDescent="0.3">
      <c r="A21" s="12" t="s">
        <v>40</v>
      </c>
      <c r="B21" s="14"/>
      <c r="C21" s="14"/>
      <c r="D21" s="14"/>
      <c r="E21" s="14"/>
      <c r="F21" s="14"/>
      <c r="G21" s="13">
        <f>SUM(G20:G20)</f>
        <v>4000000</v>
      </c>
      <c r="H21" s="20">
        <f>G21/$C$6</f>
        <v>0.61226676462934904</v>
      </c>
      <c r="I21" s="14"/>
      <c r="J21" s="14"/>
    </row>
    <row r="23" spans="1:10" x14ac:dyDescent="0.25">
      <c r="A23" s="4" t="s">
        <v>648</v>
      </c>
      <c r="B23" s="4" t="s">
        <v>41</v>
      </c>
      <c r="C23" s="10">
        <f>$C$16</f>
        <v>0</v>
      </c>
      <c r="D23" s="4" t="s">
        <v>104</v>
      </c>
      <c r="E23" s="7">
        <v>200</v>
      </c>
      <c r="F23" s="4" t="s">
        <v>96</v>
      </c>
      <c r="G23" s="9">
        <f>C23*E23</f>
        <v>0</v>
      </c>
      <c r="H23" s="11">
        <f>G23/$C$6</f>
        <v>0</v>
      </c>
      <c r="I23" s="4" t="s">
        <v>654</v>
      </c>
      <c r="J23" s="19" t="s">
        <v>273</v>
      </c>
    </row>
    <row r="24" spans="1:10" ht="13" x14ac:dyDescent="0.3">
      <c r="A24" s="12" t="s">
        <v>316</v>
      </c>
      <c r="B24" s="14"/>
      <c r="C24" s="14"/>
      <c r="D24" s="14"/>
      <c r="E24" s="14"/>
      <c r="F24" s="14"/>
      <c r="G24" s="13">
        <f>SUM(G23:G23)</f>
        <v>0</v>
      </c>
      <c r="H24" s="20">
        <f>G24/$C$6</f>
        <v>0</v>
      </c>
      <c r="I24" s="14"/>
      <c r="J24" s="14"/>
    </row>
    <row r="26" spans="1:10" ht="13" x14ac:dyDescent="0.3">
      <c r="A26" s="15" t="s">
        <v>655</v>
      </c>
      <c r="B26" s="15"/>
      <c r="C26" s="15"/>
      <c r="D26" s="15"/>
      <c r="E26" s="15"/>
      <c r="F26" s="15"/>
      <c r="G26" s="16">
        <f>G21+G24</f>
        <v>4000000</v>
      </c>
      <c r="H26" s="21">
        <f>G26/$C$6</f>
        <v>0.61226676462934904</v>
      </c>
      <c r="I26" s="15"/>
      <c r="J26" s="15"/>
    </row>
    <row r="28" spans="1:10" ht="13" x14ac:dyDescent="0.3">
      <c r="A28" s="24" t="s">
        <v>656</v>
      </c>
      <c r="B28" s="24"/>
      <c r="C28" s="24"/>
      <c r="D28" s="24"/>
      <c r="E28" s="24"/>
      <c r="F28" s="24"/>
      <c r="G28" s="24"/>
      <c r="H28" s="24"/>
      <c r="I28" s="24"/>
      <c r="J28" s="24"/>
    </row>
    <row r="29" spans="1:10" ht="36" x14ac:dyDescent="0.25">
      <c r="A29" s="4" t="s">
        <v>355</v>
      </c>
      <c r="B29" s="4" t="s">
        <v>657</v>
      </c>
      <c r="C29" s="6">
        <v>1</v>
      </c>
      <c r="D29" s="4" t="s">
        <v>200</v>
      </c>
      <c r="E29" s="7">
        <v>300000</v>
      </c>
      <c r="F29" s="4" t="s">
        <v>201</v>
      </c>
      <c r="G29" s="9">
        <f t="shared" ref="G29:G35" si="0">C29*E29</f>
        <v>300000</v>
      </c>
      <c r="H29" s="11">
        <f t="shared" ref="H29:H46" si="1">G29/$C$6</f>
        <v>4.5920007347201176E-2</v>
      </c>
      <c r="I29" s="4" t="s">
        <v>652</v>
      </c>
      <c r="J29" s="19" t="s">
        <v>658</v>
      </c>
    </row>
    <row r="30" spans="1:10" x14ac:dyDescent="0.25">
      <c r="A30" s="4" t="s">
        <v>355</v>
      </c>
      <c r="B30" s="4" t="s">
        <v>659</v>
      </c>
      <c r="C30" s="6">
        <v>1</v>
      </c>
      <c r="D30" s="4" t="s">
        <v>200</v>
      </c>
      <c r="E30" s="7">
        <v>40000</v>
      </c>
      <c r="F30" s="4" t="s">
        <v>201</v>
      </c>
      <c r="G30" s="9">
        <f t="shared" si="0"/>
        <v>40000</v>
      </c>
      <c r="H30" s="11">
        <f t="shared" si="1"/>
        <v>6.1226676462934901E-3</v>
      </c>
      <c r="I30" s="4" t="s">
        <v>654</v>
      </c>
      <c r="J30" s="19" t="s">
        <v>660</v>
      </c>
    </row>
    <row r="31" spans="1:10" x14ac:dyDescent="0.25">
      <c r="A31" s="4" t="s">
        <v>355</v>
      </c>
      <c r="B31" s="4" t="s">
        <v>661</v>
      </c>
      <c r="C31" s="6">
        <v>1</v>
      </c>
      <c r="D31" s="4" t="s">
        <v>200</v>
      </c>
      <c r="E31" s="7">
        <v>45000</v>
      </c>
      <c r="F31" s="4" t="s">
        <v>201</v>
      </c>
      <c r="G31" s="9">
        <f t="shared" si="0"/>
        <v>45000</v>
      </c>
      <c r="H31" s="11">
        <f t="shared" si="1"/>
        <v>6.8880011020801763E-3</v>
      </c>
      <c r="I31" s="4" t="s">
        <v>652</v>
      </c>
      <c r="J31" s="19" t="s">
        <v>662</v>
      </c>
    </row>
    <row r="32" spans="1:10" x14ac:dyDescent="0.25">
      <c r="A32" s="4" t="s">
        <v>355</v>
      </c>
      <c r="B32" s="4" t="s">
        <v>663</v>
      </c>
      <c r="C32" s="10">
        <f>$C$10</f>
        <v>17578</v>
      </c>
      <c r="D32" s="4" t="s">
        <v>448</v>
      </c>
      <c r="E32" s="17">
        <v>3.5</v>
      </c>
      <c r="F32" s="4" t="s">
        <v>485</v>
      </c>
      <c r="G32" s="9">
        <f t="shared" si="0"/>
        <v>61523</v>
      </c>
      <c r="H32" s="11">
        <f t="shared" si="1"/>
        <v>9.41712204007286E-3</v>
      </c>
      <c r="I32" s="4" t="s">
        <v>652</v>
      </c>
      <c r="J32" s="19"/>
    </row>
    <row r="33" spans="1:10" ht="24" x14ac:dyDescent="0.25">
      <c r="A33" s="4" t="s">
        <v>355</v>
      </c>
      <c r="B33" s="4" t="s">
        <v>664</v>
      </c>
      <c r="C33" s="6">
        <v>1</v>
      </c>
      <c r="D33" s="4" t="s">
        <v>200</v>
      </c>
      <c r="E33" s="7">
        <v>5000</v>
      </c>
      <c r="F33" s="4" t="s">
        <v>201</v>
      </c>
      <c r="G33" s="9">
        <f t="shared" si="0"/>
        <v>5000</v>
      </c>
      <c r="H33" s="11">
        <f t="shared" si="1"/>
        <v>7.6533345578668626E-4</v>
      </c>
      <c r="I33" s="4" t="s">
        <v>652</v>
      </c>
      <c r="J33" s="19" t="s">
        <v>665</v>
      </c>
    </row>
    <row r="34" spans="1:10" ht="25" x14ac:dyDescent="0.25">
      <c r="A34" s="4" t="s">
        <v>355</v>
      </c>
      <c r="B34" s="4" t="s">
        <v>666</v>
      </c>
      <c r="C34" s="6">
        <v>1</v>
      </c>
      <c r="D34" s="4" t="s">
        <v>200</v>
      </c>
      <c r="E34" s="7">
        <v>0</v>
      </c>
      <c r="F34" s="4" t="s">
        <v>201</v>
      </c>
      <c r="G34" s="9">
        <f t="shared" si="0"/>
        <v>0</v>
      </c>
      <c r="H34" s="11">
        <f t="shared" si="1"/>
        <v>0</v>
      </c>
      <c r="I34" s="4" t="s">
        <v>654</v>
      </c>
      <c r="J34" s="19" t="s">
        <v>667</v>
      </c>
    </row>
    <row r="35" spans="1:10" ht="25" x14ac:dyDescent="0.25">
      <c r="A35" s="4" t="s">
        <v>355</v>
      </c>
      <c r="B35" s="4" t="s">
        <v>668</v>
      </c>
      <c r="C35" s="6">
        <v>1</v>
      </c>
      <c r="D35" s="4" t="s">
        <v>200</v>
      </c>
      <c r="E35" s="7">
        <v>30000</v>
      </c>
      <c r="F35" s="4" t="s">
        <v>201</v>
      </c>
      <c r="G35" s="9">
        <f t="shared" si="0"/>
        <v>30000</v>
      </c>
      <c r="H35" s="11">
        <f t="shared" si="1"/>
        <v>4.5920007347201178E-3</v>
      </c>
      <c r="I35" s="4" t="s">
        <v>654</v>
      </c>
      <c r="J35" s="19" t="s">
        <v>669</v>
      </c>
    </row>
    <row r="36" spans="1:10" ht="24" x14ac:dyDescent="0.25">
      <c r="A36" s="4" t="s">
        <v>355</v>
      </c>
      <c r="B36" s="4" t="s">
        <v>670</v>
      </c>
      <c r="C36" s="10">
        <f>$C$13</f>
        <v>20</v>
      </c>
      <c r="D36" s="4" t="s">
        <v>239</v>
      </c>
      <c r="E36" s="7">
        <v>50000</v>
      </c>
      <c r="F36" s="4" t="s">
        <v>671</v>
      </c>
      <c r="G36" s="9">
        <f>C36*E36/12</f>
        <v>83333.333333333328</v>
      </c>
      <c r="H36" s="11">
        <f t="shared" si="1"/>
        <v>1.2755557596444771E-2</v>
      </c>
      <c r="I36" s="4" t="s">
        <v>652</v>
      </c>
      <c r="J36" s="19" t="s">
        <v>672</v>
      </c>
    </row>
    <row r="37" spans="1:10" ht="36" x14ac:dyDescent="0.25">
      <c r="A37" s="4" t="s">
        <v>355</v>
      </c>
      <c r="B37" s="4" t="s">
        <v>673</v>
      </c>
      <c r="C37" s="10">
        <f>$C$13</f>
        <v>20</v>
      </c>
      <c r="D37" s="4" t="s">
        <v>239</v>
      </c>
      <c r="E37" s="7">
        <v>150000</v>
      </c>
      <c r="F37" s="4" t="s">
        <v>671</v>
      </c>
      <c r="G37" s="9">
        <f>C37*E37/12</f>
        <v>250000</v>
      </c>
      <c r="H37" s="11">
        <f t="shared" si="1"/>
        <v>3.8266672789334315E-2</v>
      </c>
      <c r="I37" s="4" t="s">
        <v>652</v>
      </c>
      <c r="J37" s="19" t="s">
        <v>674</v>
      </c>
    </row>
    <row r="38" spans="1:10" ht="24" x14ac:dyDescent="0.25">
      <c r="A38" s="4" t="s">
        <v>355</v>
      </c>
      <c r="B38" s="4" t="s">
        <v>675</v>
      </c>
      <c r="C38" s="10">
        <f>$C$12-$C$13</f>
        <v>12</v>
      </c>
      <c r="D38" s="4" t="s">
        <v>239</v>
      </c>
      <c r="E38" s="7">
        <v>30000</v>
      </c>
      <c r="F38" s="4" t="s">
        <v>671</v>
      </c>
      <c r="G38" s="9">
        <f>C38*E38/12</f>
        <v>30000</v>
      </c>
      <c r="H38" s="11">
        <f t="shared" si="1"/>
        <v>4.5920007347201178E-3</v>
      </c>
      <c r="I38" s="4" t="s">
        <v>654</v>
      </c>
      <c r="J38" s="19" t="s">
        <v>676</v>
      </c>
    </row>
    <row r="39" spans="1:10" ht="24" x14ac:dyDescent="0.25">
      <c r="A39" s="4" t="s">
        <v>355</v>
      </c>
      <c r="B39" s="4" t="s">
        <v>677</v>
      </c>
      <c r="C39" s="10">
        <f>$C$14</f>
        <v>36</v>
      </c>
      <c r="D39" s="4" t="s">
        <v>239</v>
      </c>
      <c r="E39" s="7">
        <v>67000</v>
      </c>
      <c r="F39" s="4" t="s">
        <v>671</v>
      </c>
      <c r="G39" s="9">
        <f>C39*E39/12</f>
        <v>201000</v>
      </c>
      <c r="H39" s="11">
        <f t="shared" si="1"/>
        <v>3.0766404922624786E-2</v>
      </c>
      <c r="I39" s="4" t="s">
        <v>652</v>
      </c>
      <c r="J39" s="19" t="s">
        <v>678</v>
      </c>
    </row>
    <row r="40" spans="1:10" x14ac:dyDescent="0.25">
      <c r="A40" s="4" t="s">
        <v>355</v>
      </c>
      <c r="B40" s="4" t="s">
        <v>679</v>
      </c>
      <c r="C40" s="6">
        <v>1</v>
      </c>
      <c r="D40" s="4" t="s">
        <v>200</v>
      </c>
      <c r="E40" s="7">
        <v>10000</v>
      </c>
      <c r="F40" s="4" t="s">
        <v>201</v>
      </c>
      <c r="G40" s="9">
        <f t="shared" ref="G40:G45" si="2">C40*E40</f>
        <v>10000</v>
      </c>
      <c r="H40" s="11">
        <f t="shared" si="1"/>
        <v>1.5306669115733725E-3</v>
      </c>
      <c r="I40" s="4" t="s">
        <v>652</v>
      </c>
      <c r="J40" s="19" t="s">
        <v>680</v>
      </c>
    </row>
    <row r="41" spans="1:10" ht="24" x14ac:dyDescent="0.25">
      <c r="A41" s="4" t="s">
        <v>355</v>
      </c>
      <c r="B41" s="4" t="s">
        <v>681</v>
      </c>
      <c r="C41" s="6">
        <v>1</v>
      </c>
      <c r="D41" s="4" t="s">
        <v>200</v>
      </c>
      <c r="E41" s="7">
        <v>60000</v>
      </c>
      <c r="F41" s="4" t="s">
        <v>201</v>
      </c>
      <c r="G41" s="9">
        <f t="shared" si="2"/>
        <v>60000</v>
      </c>
      <c r="H41" s="11">
        <f t="shared" si="1"/>
        <v>9.1840014694402356E-3</v>
      </c>
      <c r="I41" s="4" t="s">
        <v>652</v>
      </c>
      <c r="J41" s="19" t="s">
        <v>682</v>
      </c>
    </row>
    <row r="42" spans="1:10" x14ac:dyDescent="0.25">
      <c r="A42" s="4" t="s">
        <v>355</v>
      </c>
      <c r="B42" s="4" t="s">
        <v>683</v>
      </c>
      <c r="C42" s="6">
        <v>1</v>
      </c>
      <c r="D42" s="4" t="s">
        <v>200</v>
      </c>
      <c r="E42" s="7">
        <v>10000</v>
      </c>
      <c r="F42" s="4" t="s">
        <v>201</v>
      </c>
      <c r="G42" s="9">
        <f t="shared" si="2"/>
        <v>10000</v>
      </c>
      <c r="H42" s="11">
        <f t="shared" si="1"/>
        <v>1.5306669115733725E-3</v>
      </c>
      <c r="I42" s="4" t="s">
        <v>652</v>
      </c>
      <c r="J42" s="19" t="s">
        <v>662</v>
      </c>
    </row>
    <row r="43" spans="1:10" x14ac:dyDescent="0.25">
      <c r="A43" s="4" t="s">
        <v>355</v>
      </c>
      <c r="B43" s="4" t="s">
        <v>684</v>
      </c>
      <c r="C43" s="9">
        <f>$C$6</f>
        <v>6533100</v>
      </c>
      <c r="D43" s="4" t="s">
        <v>685</v>
      </c>
      <c r="E43" s="8">
        <v>0.03</v>
      </c>
      <c r="F43" s="4" t="s">
        <v>543</v>
      </c>
      <c r="G43" s="9">
        <f t="shared" si="2"/>
        <v>195993</v>
      </c>
      <c r="H43" s="11">
        <f t="shared" si="1"/>
        <v>0.03</v>
      </c>
      <c r="I43" s="4" t="s">
        <v>652</v>
      </c>
      <c r="J43" s="19" t="s">
        <v>686</v>
      </c>
    </row>
    <row r="44" spans="1:10" x14ac:dyDescent="0.25">
      <c r="A44" s="4" t="s">
        <v>355</v>
      </c>
      <c r="B44" s="4" t="s">
        <v>687</v>
      </c>
      <c r="C44" s="10">
        <f>$C$11</f>
        <v>9</v>
      </c>
      <c r="D44" s="4" t="s">
        <v>197</v>
      </c>
      <c r="E44" s="7">
        <v>6500</v>
      </c>
      <c r="F44" s="4" t="s">
        <v>198</v>
      </c>
      <c r="G44" s="9">
        <f t="shared" si="2"/>
        <v>58500</v>
      </c>
      <c r="H44" s="11">
        <f t="shared" si="1"/>
        <v>8.9544014327042291E-3</v>
      </c>
      <c r="I44" s="4" t="s">
        <v>652</v>
      </c>
      <c r="J44" s="19"/>
    </row>
    <row r="45" spans="1:10" x14ac:dyDescent="0.25">
      <c r="A45" s="4" t="s">
        <v>355</v>
      </c>
      <c r="B45" s="4" t="s">
        <v>688</v>
      </c>
      <c r="C45" s="6">
        <v>1</v>
      </c>
      <c r="D45" s="4" t="s">
        <v>200</v>
      </c>
      <c r="E45" s="7">
        <v>95000</v>
      </c>
      <c r="F45" s="4" t="s">
        <v>201</v>
      </c>
      <c r="G45" s="9">
        <f t="shared" si="2"/>
        <v>95000</v>
      </c>
      <c r="H45" s="11">
        <f t="shared" si="1"/>
        <v>1.4541335659947039E-2</v>
      </c>
      <c r="I45" s="4" t="s">
        <v>652</v>
      </c>
      <c r="J45" s="19" t="s">
        <v>689</v>
      </c>
    </row>
    <row r="46" spans="1:10" ht="13" x14ac:dyDescent="0.3">
      <c r="A46" s="12" t="s">
        <v>690</v>
      </c>
      <c r="B46" s="14"/>
      <c r="C46" s="14"/>
      <c r="D46" s="14"/>
      <c r="E46" s="14"/>
      <c r="F46" s="14"/>
      <c r="G46" s="13">
        <f>SUM(G29:G45)</f>
        <v>1475349.3333333335</v>
      </c>
      <c r="H46" s="20">
        <f t="shared" si="1"/>
        <v>0.22582684075451676</v>
      </c>
      <c r="I46" s="14"/>
      <c r="J46" s="14"/>
    </row>
    <row r="48" spans="1:10" x14ac:dyDescent="0.25">
      <c r="A48" s="4" t="s">
        <v>355</v>
      </c>
      <c r="B48" s="4" t="s">
        <v>691</v>
      </c>
      <c r="C48" s="9">
        <f>G46</f>
        <v>1475349.3333333335</v>
      </c>
      <c r="D48" s="4" t="s">
        <v>692</v>
      </c>
      <c r="E48" s="8">
        <v>0.05</v>
      </c>
      <c r="F48" s="4" t="s">
        <v>693</v>
      </c>
      <c r="G48" s="9">
        <f>C48*E48</f>
        <v>73767.466666666674</v>
      </c>
      <c r="H48" s="11">
        <f>G48/$C$6</f>
        <v>1.1291342037725839E-2</v>
      </c>
      <c r="I48" s="4" t="s">
        <v>652</v>
      </c>
      <c r="J48" s="19"/>
    </row>
    <row r="49" spans="1:10" ht="13" x14ac:dyDescent="0.3">
      <c r="A49" s="12" t="s">
        <v>694</v>
      </c>
      <c r="B49" s="14"/>
      <c r="C49" s="14"/>
      <c r="D49" s="14"/>
      <c r="E49" s="14"/>
      <c r="F49" s="14"/>
      <c r="G49" s="13">
        <f>G46+G48</f>
        <v>1549116.8000000003</v>
      </c>
      <c r="H49" s="20">
        <f>G49/$C$6</f>
        <v>0.23711818279224262</v>
      </c>
      <c r="I49" s="14"/>
      <c r="J49" s="14"/>
    </row>
    <row r="51" spans="1:10" ht="24" x14ac:dyDescent="0.25">
      <c r="A51" s="4" t="s">
        <v>355</v>
      </c>
      <c r="B51" s="4" t="s">
        <v>47</v>
      </c>
      <c r="C51" s="9">
        <f>$C$15</f>
        <v>9303306.9360000007</v>
      </c>
      <c r="D51" s="4" t="s">
        <v>695</v>
      </c>
      <c r="E51" s="25">
        <v>2.8000000000000001E-2</v>
      </c>
      <c r="F51" s="4" t="s">
        <v>696</v>
      </c>
      <c r="G51" s="9">
        <f>C51*E51</f>
        <v>260492.59420800002</v>
      </c>
      <c r="H51" s="11">
        <f>G51/$C$6</f>
        <v>3.9872739466409519E-2</v>
      </c>
      <c r="I51" s="4" t="s">
        <v>654</v>
      </c>
      <c r="J51" s="19" t="s">
        <v>697</v>
      </c>
    </row>
    <row r="52" spans="1:10" ht="13" x14ac:dyDescent="0.3">
      <c r="A52" s="15" t="s">
        <v>698</v>
      </c>
      <c r="B52" s="15"/>
      <c r="C52" s="15"/>
      <c r="D52" s="15"/>
      <c r="E52" s="15"/>
      <c r="F52" s="15"/>
      <c r="G52" s="16">
        <f>G49+G51</f>
        <v>1809609.3942080003</v>
      </c>
      <c r="H52" s="21">
        <f>G52/$C$6</f>
        <v>0.27699092225865213</v>
      </c>
      <c r="I52" s="15"/>
      <c r="J52" s="15"/>
    </row>
    <row r="54" spans="1:10" ht="13" x14ac:dyDescent="0.3">
      <c r="A54" s="24" t="s">
        <v>699</v>
      </c>
      <c r="B54" s="24"/>
      <c r="C54" s="24"/>
      <c r="D54" s="24"/>
      <c r="E54" s="24"/>
      <c r="F54" s="24"/>
      <c r="G54" s="24"/>
      <c r="H54" s="24"/>
      <c r="I54" s="24"/>
      <c r="J54" s="24"/>
    </row>
    <row r="55" spans="1:10" ht="25" x14ac:dyDescent="0.25">
      <c r="A55" s="4" t="s">
        <v>700</v>
      </c>
      <c r="B55" s="4" t="s">
        <v>701</v>
      </c>
      <c r="C55" s="6">
        <v>1</v>
      </c>
      <c r="D55" s="4" t="s">
        <v>200</v>
      </c>
      <c r="E55" s="7">
        <v>15000</v>
      </c>
      <c r="F55" s="4" t="s">
        <v>201</v>
      </c>
      <c r="G55" s="9">
        <f>C55*E55</f>
        <v>15000</v>
      </c>
      <c r="H55" s="11">
        <f>G55/$C$6</f>
        <v>2.2960003673600589E-3</v>
      </c>
      <c r="I55" s="4" t="s">
        <v>654</v>
      </c>
      <c r="J55" s="19"/>
    </row>
    <row r="56" spans="1:10" x14ac:dyDescent="0.25">
      <c r="A56" s="4" t="s">
        <v>700</v>
      </c>
      <c r="B56" s="4" t="s">
        <v>702</v>
      </c>
      <c r="C56" s="9">
        <f>$C$6</f>
        <v>6533100</v>
      </c>
      <c r="D56" s="4" t="s">
        <v>685</v>
      </c>
      <c r="E56" s="8">
        <v>5.0000000000000001E-3</v>
      </c>
      <c r="F56" s="4" t="s">
        <v>543</v>
      </c>
      <c r="G56" s="9">
        <f>C56*E56</f>
        <v>32665.5</v>
      </c>
      <c r="H56" s="11">
        <f>G56/$C$6</f>
        <v>5.0000000000000001E-3</v>
      </c>
      <c r="I56" s="4" t="s">
        <v>654</v>
      </c>
      <c r="J56" s="19" t="s">
        <v>703</v>
      </c>
    </row>
    <row r="57" spans="1:10" x14ac:dyDescent="0.25">
      <c r="A57" s="4" t="s">
        <v>700</v>
      </c>
      <c r="B57" s="4" t="s">
        <v>704</v>
      </c>
      <c r="C57" s="6">
        <v>1</v>
      </c>
      <c r="D57" s="4" t="s">
        <v>200</v>
      </c>
      <c r="E57" s="7">
        <v>10000</v>
      </c>
      <c r="F57" s="4" t="s">
        <v>201</v>
      </c>
      <c r="G57" s="9">
        <f>C57*E57</f>
        <v>10000</v>
      </c>
      <c r="H57" s="11">
        <f>G57/$C$6</f>
        <v>1.5306669115733725E-3</v>
      </c>
      <c r="I57" s="4" t="s">
        <v>654</v>
      </c>
      <c r="J57" s="19"/>
    </row>
    <row r="58" spans="1:10" x14ac:dyDescent="0.25">
      <c r="A58" s="4" t="s">
        <v>700</v>
      </c>
      <c r="B58" s="4" t="s">
        <v>705</v>
      </c>
      <c r="C58" s="6">
        <v>1</v>
      </c>
      <c r="D58" s="4" t="s">
        <v>200</v>
      </c>
      <c r="E58" s="7">
        <v>5000</v>
      </c>
      <c r="F58" s="4" t="s">
        <v>201</v>
      </c>
      <c r="G58" s="9">
        <f>C58*E58</f>
        <v>5000</v>
      </c>
      <c r="H58" s="11">
        <f>G58/$C$6</f>
        <v>7.6533345578668626E-4</v>
      </c>
      <c r="I58" s="4" t="s">
        <v>654</v>
      </c>
      <c r="J58" s="19"/>
    </row>
    <row r="59" spans="1:10" ht="13" x14ac:dyDescent="0.3">
      <c r="A59" s="12" t="s">
        <v>706</v>
      </c>
      <c r="B59" s="14"/>
      <c r="C59" s="14"/>
      <c r="D59" s="14"/>
      <c r="E59" s="14"/>
      <c r="F59" s="14"/>
      <c r="G59" s="13">
        <f>SUM(G55:G58)</f>
        <v>62665.5</v>
      </c>
      <c r="H59" s="20">
        <f>G59/$C$6</f>
        <v>9.5920007347201179E-3</v>
      </c>
      <c r="I59" s="14"/>
      <c r="J59" s="14"/>
    </row>
    <row r="61" spans="1:10" ht="13" x14ac:dyDescent="0.3">
      <c r="A61" s="15" t="s">
        <v>707</v>
      </c>
      <c r="B61" s="15"/>
      <c r="C61" s="15"/>
      <c r="D61" s="15"/>
      <c r="E61" s="15"/>
      <c r="F61" s="15"/>
      <c r="G61" s="16">
        <f>G52+G59</f>
        <v>1872274.8942080003</v>
      </c>
      <c r="H61" s="21">
        <f>G61/$C$6</f>
        <v>0.28658292299337224</v>
      </c>
      <c r="I61" s="15"/>
      <c r="J61" s="15"/>
    </row>
    <row r="63" spans="1:10" ht="13" x14ac:dyDescent="0.3">
      <c r="A63" s="18" t="s">
        <v>708</v>
      </c>
    </row>
    <row r="64" spans="1:10" x14ac:dyDescent="0.25">
      <c r="B64" s="4" t="s">
        <v>709</v>
      </c>
      <c r="F64" s="4"/>
      <c r="G64" s="11">
        <f>G52/$C$6</f>
        <v>0.27699092225865213</v>
      </c>
    </row>
    <row r="65" spans="1:7" x14ac:dyDescent="0.25">
      <c r="B65" s="4" t="s">
        <v>710</v>
      </c>
      <c r="F65" s="4" t="s">
        <v>198</v>
      </c>
      <c r="G65" s="9">
        <f>G52/$C$11</f>
        <v>201067.71046755559</v>
      </c>
    </row>
    <row r="67" spans="1:7" ht="13" x14ac:dyDescent="0.3">
      <c r="A67" s="2" t="s">
        <v>624</v>
      </c>
    </row>
    <row r="68" spans="1:7" ht="13" x14ac:dyDescent="0.3">
      <c r="A68" s="2" t="s">
        <v>711</v>
      </c>
    </row>
  </sheetData>
  <pageMargins left="0.5" right="0.5" top="0.6" bottom="0.6"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Master</vt:lpstr>
      <vt:lpstr>Rev &amp; Unit-by-Unit</vt:lpstr>
      <vt:lpstr>Finance</vt:lpstr>
      <vt:lpstr>Gantt</vt:lpstr>
      <vt:lpstr>Hard Costs</vt:lpstr>
      <vt:lpstr>Soft Costs</vt:lpstr>
      <vt:lpstr>Finance!Print_Area</vt:lpstr>
      <vt:lpstr>Gantt!Print_Area</vt:lpstr>
      <vt:lpstr>'Hard Costs'!Print_Area</vt:lpstr>
      <vt:lpstr>Master!Print_Area</vt:lpstr>
      <vt:lpstr>'Rev &amp; Unit-by-Unit'!Print_Area</vt:lpstr>
      <vt:lpstr>'Soft Costs'!Print_Area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725 Grand Street Base + Inclusionary Pro Forma vs. B2</dc:title>
  <dc:creator>Ira Krivit</dc:creator>
  <cp:lastModifiedBy>J Pres</cp:lastModifiedBy>
  <dcterms:created xsi:type="dcterms:W3CDTF">2026-10-19T01:56:44Z</dcterms:created>
  <dcterms:modified xsi:type="dcterms:W3CDTF">2026-10-19T01:57:10Z</dcterms:modified>
</cp:coreProperties>
</file>